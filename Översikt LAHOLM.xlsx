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46249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46249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46249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46249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46249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6</v>
      </c>
      <c r="U6" t="n">
        <v>1</v>
      </c>
      <c r="V6" s="2" t="inlineStr">
        <is>
          <t>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46249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46249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46249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46249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46249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46249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46249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46249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46249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46249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46249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46249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46249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46249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46249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46249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46249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46249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35897-2022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46249</v>
      </c>
      <c r="F25" t="inlineStr">
        <is>
          <t>HALLANDS LÄN</t>
        </is>
      </c>
      <c r="G25" t="inlineStr">
        <is>
          <t>LAHOLM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HYPERLINK("https://klasma.github.io/Logging_1381/artfynd/A 35897-2022 artfynd.xlsx", "A 35897-2022")</f>
        <v/>
      </c>
      <c r="X25">
        <f>HYPERLINK("https://klasma.github.io/Logging_1381/kartor/A 35897-2022 karta.png", "A 35897-2022")</f>
        <v/>
      </c>
      <c r="Y25">
        <f>HYPERLINK("https://klasma.github.io/Logging_1381/kartor_geotiff/A 35897-2022 georefererad karta.tif", "A 35897-2022")</f>
        <v/>
      </c>
      <c r="AA25">
        <f>HYPERLINK("https://klasma.github.io/Logging_1381/klagomål/A 35897-2022 FSC-klagomål.docx", "A 35897-2022")</f>
        <v/>
      </c>
      <c r="AB25">
        <f>HYPERLINK("https://klasma.github.io/Logging_1381/klagomålsmail/A 35897-2022 FSC-klagomål mail.docx", "A 35897-2022")</f>
        <v/>
      </c>
      <c r="AC25">
        <f>HYPERLINK("https://klasma.github.io/Logging_1381/tillsyn/A 35897-2022 tillsynsbegäran.docx", "A 35897-2022")</f>
        <v/>
      </c>
      <c r="AD25">
        <f>HYPERLINK("https://klasma.github.io/Logging_1381/tillsynsmail/A 35897-2022 tillsynsbegäran mail.docx", "A 35897-2022")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46249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5677-2022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44596</v>
      </c>
      <c r="E27" s="1" t="n">
        <v>46249</v>
      </c>
      <c r="F27" t="inlineStr">
        <is>
          <t>HALLANDS LÄN</t>
        </is>
      </c>
      <c r="G27" t="inlineStr">
        <is>
          <t>LAHOLM</t>
        </is>
      </c>
      <c r="I27" t="n">
        <v>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5677-2022 artfynd.xlsx", "A 5677-2022")</f>
        <v/>
      </c>
      <c r="X27">
        <f>HYPERLINK("https://klasma.github.io/Logging_1381/kartor/A 5677-2022 karta.png", "A 5677-2022")</f>
        <v/>
      </c>
      <c r="Y27">
        <f>HYPERLINK("https://klasma.github.io/Logging_1381/kartor_geotiff/A 5677-2022 georefererad karta.tif", "A 5677-2022")</f>
        <v/>
      </c>
      <c r="AA27">
        <f>HYPERLINK("https://klasma.github.io/Logging_1381/klagomål/A 5677-2022 FSC-klagomål.docx", "A 5677-2022")</f>
        <v/>
      </c>
      <c r="AB27">
        <f>HYPERLINK("https://klasma.github.io/Logging_1381/klagomålsmail/A 5677-2022 FSC-klagomål mail.docx", "A 5677-2022")</f>
        <v/>
      </c>
      <c r="AC27">
        <f>HYPERLINK("https://klasma.github.io/Logging_1381/tillsyn/A 5677-2022 tillsynsbegäran.docx", "A 5677-2022")</f>
        <v/>
      </c>
      <c r="AD27">
        <f>HYPERLINK("https://klasma.github.io/Logging_1381/tillsynsmail/A 5677-2022 tillsynsbegäran mail.docx", "A 5677-2022")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46249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35453-2023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46249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35453-2023 artfynd.xlsx", "A 35453-2023")</f>
        <v/>
      </c>
      <c r="X29">
        <f>HYPERLINK("https://klasma.github.io/Logging_1381/kartor/A 35453-2023 karta.png", "A 35453-2023")</f>
        <v/>
      </c>
      <c r="Y29">
        <f>HYPERLINK("https://klasma.github.io/Logging_1381/kartor_geotiff/A 35453-2023 georefererad karta.tif", "A 35453-2023")</f>
        <v/>
      </c>
      <c r="AA29">
        <f>HYPERLINK("https://klasma.github.io/Logging_1381/klagomål/A 35453-2023 FSC-klagomål.docx", "A 35453-2023")</f>
        <v/>
      </c>
      <c r="AB29">
        <f>HYPERLINK("https://klasma.github.io/Logging_1381/klagomålsmail/A 35453-2023 FSC-klagomål mail.docx", "A 35453-2023")</f>
        <v/>
      </c>
      <c r="AC29">
        <f>HYPERLINK("https://klasma.github.io/Logging_1381/tillsyn/A 35453-2023 tillsynsbegäran.docx", "A 35453-2023")</f>
        <v/>
      </c>
      <c r="AD29">
        <f>HYPERLINK("https://klasma.github.io/Logging_1381/tillsynsmail/A 35453-2023 tillsynsbegäran mail.docx", "A 35453-2023")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46249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46249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37556-2023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45159</v>
      </c>
      <c r="E32" s="1" t="n">
        <v>46249</v>
      </c>
      <c r="F32" t="inlineStr">
        <is>
          <t>HALLANDS LÄN</t>
        </is>
      </c>
      <c r="G32" t="inlineStr">
        <is>
          <t>LAHOLM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2</v>
      </c>
      <c r="V32" s="2" t="inlineStr">
        <is>
          <t>Vildris</t>
        </is>
      </c>
      <c r="W32">
        <f>HYPERLINK("https://klasma.github.io/Logging_1381/artfynd/A 37556-2023 artfynd.xlsx", "A 37556-2023")</f>
        <v/>
      </c>
      <c r="X32">
        <f>HYPERLINK("https://klasma.github.io/Logging_1381/kartor/A 37556-2023 karta.png", "A 37556-2023")</f>
        <v/>
      </c>
      <c r="Y32">
        <f>HYPERLINK("https://klasma.github.io/Logging_1381/kartor_geotiff/A 37556-2023 georefererad karta.tif", "A 37556-2023")</f>
        <v/>
      </c>
      <c r="AA32">
        <f>HYPERLINK("https://klasma.github.io/Logging_1381/klagomål/A 37556-2023 FSC-klagomål.docx", "A 37556-2023")</f>
        <v/>
      </c>
      <c r="AB32">
        <f>HYPERLINK("https://klasma.github.io/Logging_1381/klagomålsmail/A 37556-2023 FSC-klagomål mail.docx", "A 37556-2023")</f>
        <v/>
      </c>
      <c r="AC32">
        <f>HYPERLINK("https://klasma.github.io/Logging_1381/tillsyn/A 37556-2023 tillsynsbegäran.docx", "A 37556-2023")</f>
        <v/>
      </c>
      <c r="AD32">
        <f>HYPERLINK("https://klasma.github.io/Logging_1381/tillsynsmail/A 37556-2023 tillsynsbegäran mail.docx", "A 37556-2023")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46249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46249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46249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46249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46249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46249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46249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46249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46249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46249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46249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46249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46249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46249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46249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46249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46249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46249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46249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46249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46249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46249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46249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46249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46249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46249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46249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46249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46249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46249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46249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46249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46249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46249</v>
      </c>
      <c r="F66" t="inlineStr">
        <is>
          <t>HALLANDS LÄN</t>
        </is>
      </c>
      <c r="G66" t="inlineStr">
        <is>
          <t>LAHOLM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46249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45364</v>
      </c>
      <c r="E68" s="1" t="n">
        <v>46249</v>
      </c>
      <c r="F68" t="inlineStr">
        <is>
          <t>HALLANDS LÄN</t>
        </is>
      </c>
      <c r="G68" t="inlineStr">
        <is>
          <t>LAHOLM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44749</v>
      </c>
      <c r="E69" s="1" t="n">
        <v>46249</v>
      </c>
      <c r="F69" t="inlineStr">
        <is>
          <t>HALLANDS LÄN</t>
        </is>
      </c>
      <c r="G69" t="inlineStr">
        <is>
          <t>LAHOLM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45135</v>
      </c>
      <c r="E70" s="1" t="n">
        <v>46249</v>
      </c>
      <c r="F70" t="inlineStr">
        <is>
          <t>HALLANDS LÄN</t>
        </is>
      </c>
      <c r="G70" t="inlineStr">
        <is>
          <t>LAHOLM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44771</v>
      </c>
      <c r="E71" s="1" t="n">
        <v>46249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46249</v>
      </c>
      <c r="F72" t="inlineStr">
        <is>
          <t>HALLANDS LÄN</t>
        </is>
      </c>
      <c r="G72" t="inlineStr">
        <is>
          <t>LAHOLM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46249</v>
      </c>
      <c r="F73" t="inlineStr">
        <is>
          <t>HALLANDS LÄN</t>
        </is>
      </c>
      <c r="G73" t="inlineStr">
        <is>
          <t>LAHOLM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46249</v>
      </c>
      <c r="F74" t="inlineStr">
        <is>
          <t>HALLANDS LÄN</t>
        </is>
      </c>
      <c r="G74" t="inlineStr">
        <is>
          <t>LAHOLM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46249</v>
      </c>
      <c r="F75" t="inlineStr">
        <is>
          <t>HALLANDS LÄN</t>
        </is>
      </c>
      <c r="G75" t="inlineStr">
        <is>
          <t>LAHOLM</t>
        </is>
      </c>
      <c r="H75" t="inlineStr">
        <is>
          <t>Kyrkan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46249</v>
      </c>
      <c r="F76" t="inlineStr">
        <is>
          <t>HALLANDS LÄN</t>
        </is>
      </c>
      <c r="G76" t="inlineStr">
        <is>
          <t>LAHOLM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46249</v>
      </c>
      <c r="F77" t="inlineStr">
        <is>
          <t>HALLANDS LÄN</t>
        </is>
      </c>
      <c r="G77" t="inlineStr">
        <is>
          <t>LAHOLM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45581</v>
      </c>
      <c r="E78" s="1" t="n">
        <v>46249</v>
      </c>
      <c r="F78" t="inlineStr">
        <is>
          <t>HALLANDS LÄN</t>
        </is>
      </c>
      <c r="G78" t="inlineStr">
        <is>
          <t>LAHOLM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44810</v>
      </c>
      <c r="E79" s="1" t="n">
        <v>46249</v>
      </c>
      <c r="F79" t="inlineStr">
        <is>
          <t>HALLANDS LÄN</t>
        </is>
      </c>
      <c r="G79" t="inlineStr">
        <is>
          <t>LAHOLM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46249</v>
      </c>
      <c r="F80" t="inlineStr">
        <is>
          <t>HALLANDS LÄN</t>
        </is>
      </c>
      <c r="G80" t="inlineStr">
        <is>
          <t>LAHOLM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46249</v>
      </c>
      <c r="F81" t="inlineStr">
        <is>
          <t>HALLANDS LÄN</t>
        </is>
      </c>
      <c r="G81" t="inlineStr">
        <is>
          <t>LAHOLM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46249</v>
      </c>
      <c r="F82" t="inlineStr">
        <is>
          <t>HALLANDS LÄN</t>
        </is>
      </c>
      <c r="G82" t="inlineStr">
        <is>
          <t>LAHOLM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44810</v>
      </c>
      <c r="E83" s="1" t="n">
        <v>46249</v>
      </c>
      <c r="F83" t="inlineStr">
        <is>
          <t>HALLANDS LÄN</t>
        </is>
      </c>
      <c r="G83" t="inlineStr">
        <is>
          <t>LAHOLM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45231</v>
      </c>
      <c r="E84" s="1" t="n">
        <v>46249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53693-2021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46249</v>
      </c>
      <c r="F85" t="inlineStr">
        <is>
          <t>HALLANDS LÄN</t>
        </is>
      </c>
      <c r="G85" t="inlineStr">
        <is>
          <t>LAHOLM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46249</v>
      </c>
      <c r="F86" t="inlineStr">
        <is>
          <t>HALLANDS LÄN</t>
        </is>
      </c>
      <c r="G86" t="inlineStr">
        <is>
          <t>LAHOLM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46249</v>
      </c>
      <c r="F87" t="inlineStr">
        <is>
          <t>HALLANDS LÄN</t>
        </is>
      </c>
      <c r="G87" t="inlineStr">
        <is>
          <t>LAHOLM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46249</v>
      </c>
      <c r="F88" t="inlineStr">
        <is>
          <t>HALLANDS LÄN</t>
        </is>
      </c>
      <c r="G88" t="inlineStr">
        <is>
          <t>LAHOLM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45314</v>
      </c>
      <c r="E89" s="1" t="n">
        <v>46249</v>
      </c>
      <c r="F89" t="inlineStr">
        <is>
          <t>HALLANDS LÄN</t>
        </is>
      </c>
      <c r="G89" t="inlineStr">
        <is>
          <t>LAHOLM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44727</v>
      </c>
      <c r="E90" s="1" t="n">
        <v>46249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46249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46249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44512</v>
      </c>
      <c r="E93" s="1" t="n">
        <v>46249</v>
      </c>
      <c r="F93" t="inlineStr">
        <is>
          <t>HALLANDS LÄN</t>
        </is>
      </c>
      <c r="G93" t="inlineStr">
        <is>
          <t>LAHOLM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46249</v>
      </c>
      <c r="F94" t="inlineStr">
        <is>
          <t>HALLANDS LÄN</t>
        </is>
      </c>
      <c r="G94" t="inlineStr">
        <is>
          <t>LAHOLM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63404-2021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46249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45320</v>
      </c>
      <c r="E96" s="1" t="n">
        <v>46249</v>
      </c>
      <c r="F96" t="inlineStr">
        <is>
          <t>HALLANDS LÄN</t>
        </is>
      </c>
      <c r="G96" t="inlineStr">
        <is>
          <t>LAHOLM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46249</v>
      </c>
      <c r="F97" t="inlineStr">
        <is>
          <t>HALLANDS LÄN</t>
        </is>
      </c>
      <c r="G97" t="inlineStr">
        <is>
          <t>LAHOLM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46249</v>
      </c>
      <c r="F98" t="inlineStr">
        <is>
          <t>HALLANDS LÄN</t>
        </is>
      </c>
      <c r="G98" t="inlineStr">
        <is>
          <t>LAHOLM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46249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46249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46249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45688</v>
      </c>
      <c r="E102" s="1" t="n">
        <v>46249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46249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46249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46249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46249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46249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45020</v>
      </c>
      <c r="E108" s="1" t="n">
        <v>46249</v>
      </c>
      <c r="F108" t="inlineStr">
        <is>
          <t>HALLANDS LÄN</t>
        </is>
      </c>
      <c r="G108" t="inlineStr">
        <is>
          <t>LAHOLM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46249</v>
      </c>
      <c r="F109" t="inlineStr">
        <is>
          <t>HALLANDS LÄN</t>
        </is>
      </c>
      <c r="G109" t="inlineStr">
        <is>
          <t>LAHOLM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46249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46249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46249</v>
      </c>
      <c r="F112" t="inlineStr">
        <is>
          <t>HALLANDS LÄN</t>
        </is>
      </c>
      <c r="G112" t="inlineStr">
        <is>
          <t>LAHOLM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46249</v>
      </c>
      <c r="F113" t="inlineStr">
        <is>
          <t>HALLANDS LÄN</t>
        </is>
      </c>
      <c r="G113" t="inlineStr">
        <is>
          <t>LAHOLM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46249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46249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46249</v>
      </c>
      <c r="F116" t="inlineStr">
        <is>
          <t>HALLANDS LÄN</t>
        </is>
      </c>
      <c r="G116" t="inlineStr">
        <is>
          <t>LAHOLM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46249</v>
      </c>
      <c r="F117" t="inlineStr">
        <is>
          <t>HALLANDS LÄN</t>
        </is>
      </c>
      <c r="G117" t="inlineStr">
        <is>
          <t>LAHOLM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46249</v>
      </c>
      <c r="F118" t="inlineStr">
        <is>
          <t>HALLANDS LÄN</t>
        </is>
      </c>
      <c r="G118" t="inlineStr">
        <is>
          <t>LAHOLM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46249</v>
      </c>
      <c r="F119" t="inlineStr">
        <is>
          <t>HALLANDS LÄN</t>
        </is>
      </c>
      <c r="G119" t="inlineStr">
        <is>
          <t>LAHOLM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46249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46249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46249</v>
      </c>
      <c r="F122" t="inlineStr">
        <is>
          <t>HALLANDS LÄN</t>
        </is>
      </c>
      <c r="G122" t="inlineStr">
        <is>
          <t>LAHOLM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45195</v>
      </c>
      <c r="E123" s="1" t="n">
        <v>46249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46249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46249</v>
      </c>
      <c r="F125" t="inlineStr">
        <is>
          <t>HALLANDS LÄN</t>
        </is>
      </c>
      <c r="G125" t="inlineStr">
        <is>
          <t>LAHOLM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46249</v>
      </c>
      <c r="F126" t="inlineStr">
        <is>
          <t>HALLANDS LÄN</t>
        </is>
      </c>
      <c r="G126" t="inlineStr">
        <is>
          <t>LAHOLM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46249</v>
      </c>
      <c r="F127" t="inlineStr">
        <is>
          <t>HALLANDS LÄN</t>
        </is>
      </c>
      <c r="G127" t="inlineStr">
        <is>
          <t>LAHOLM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46249</v>
      </c>
      <c r="F128" t="inlineStr">
        <is>
          <t>HALLANDS LÄN</t>
        </is>
      </c>
      <c r="G128" t="inlineStr">
        <is>
          <t>LAHOLM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46249</v>
      </c>
      <c r="F129" t="inlineStr">
        <is>
          <t>HALLANDS LÄN</t>
        </is>
      </c>
      <c r="G129" t="inlineStr">
        <is>
          <t>LAHOLM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46249</v>
      </c>
      <c r="F130" t="inlineStr">
        <is>
          <t>HALLANDS LÄN</t>
        </is>
      </c>
      <c r="G130" t="inlineStr">
        <is>
          <t>LAHOLM</t>
        </is>
      </c>
      <c r="H130" t="inlineStr">
        <is>
          <t>Övriga statliga verk och myndigheter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45317</v>
      </c>
      <c r="E131" s="1" t="n">
        <v>46249</v>
      </c>
      <c r="F131" t="inlineStr">
        <is>
          <t>HALLANDS LÄN</t>
        </is>
      </c>
      <c r="G131" t="inlineStr">
        <is>
          <t>LAHOLM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45131</v>
      </c>
      <c r="E132" s="1" t="n">
        <v>46249</v>
      </c>
      <c r="F132" t="inlineStr">
        <is>
          <t>HALLANDS LÄN</t>
        </is>
      </c>
      <c r="G132" t="inlineStr">
        <is>
          <t>LAHOLM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45349</v>
      </c>
      <c r="E133" s="1" t="n">
        <v>46249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46249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46249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46249</v>
      </c>
      <c r="F136" t="inlineStr">
        <is>
          <t>HALLANDS LÄN</t>
        </is>
      </c>
      <c r="G136" t="inlineStr">
        <is>
          <t>LAHOLM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46249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44764</v>
      </c>
      <c r="E138" s="1" t="n">
        <v>46249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44639</v>
      </c>
      <c r="E139" s="1" t="n">
        <v>46249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46249</v>
      </c>
      <c r="F140" t="inlineStr">
        <is>
          <t>HALLANDS LÄN</t>
        </is>
      </c>
      <c r="G140" t="inlineStr">
        <is>
          <t>LAHOLM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46249</v>
      </c>
      <c r="F141" t="inlineStr">
        <is>
          <t>HALLANDS LÄN</t>
        </is>
      </c>
      <c r="G141" t="inlineStr">
        <is>
          <t>LAHOLM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46249</v>
      </c>
      <c r="F142" t="inlineStr">
        <is>
          <t>HALLANDS LÄN</t>
        </is>
      </c>
      <c r="G142" t="inlineStr">
        <is>
          <t>LAHOLM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46249</v>
      </c>
      <c r="F143" t="inlineStr">
        <is>
          <t>HALLANDS LÄN</t>
        </is>
      </c>
      <c r="G143" t="inlineStr">
        <is>
          <t>LAHOLM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46249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46249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46249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45519</v>
      </c>
      <c r="E147" s="1" t="n">
        <v>46249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46249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46249</v>
      </c>
      <c r="F149" t="inlineStr">
        <is>
          <t>HALLANDS LÄN</t>
        </is>
      </c>
      <c r="G149" t="inlineStr">
        <is>
          <t>LAHOLM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46249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46249</v>
      </c>
      <c r="F151" t="inlineStr">
        <is>
          <t>HALLANDS LÄN</t>
        </is>
      </c>
      <c r="G151" t="inlineStr">
        <is>
          <t>LAHOLM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13998-2026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46098</v>
      </c>
      <c r="E152" s="1" t="n">
        <v>46249</v>
      </c>
      <c r="F152" t="inlineStr">
        <is>
          <t>HALLANDS LÄN</t>
        </is>
      </c>
      <c r="G152" t="inlineStr">
        <is>
          <t>LAHOLM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46249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46249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46249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46249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46249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46249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45320</v>
      </c>
      <c r="E159" s="1" t="n">
        <v>46249</v>
      </c>
      <c r="F159" t="inlineStr">
        <is>
          <t>HALLANDS LÄN</t>
        </is>
      </c>
      <c r="G159" t="inlineStr">
        <is>
          <t>LAHOLM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46249</v>
      </c>
      <c r="F160" t="inlineStr">
        <is>
          <t>HALLANDS LÄN</t>
        </is>
      </c>
      <c r="G160" t="inlineStr">
        <is>
          <t>LAHOLM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46249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46249</v>
      </c>
      <c r="F162" t="inlineStr">
        <is>
          <t>HALLANDS LÄN</t>
        </is>
      </c>
      <c r="G162" t="inlineStr">
        <is>
          <t>LAHOLM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46249</v>
      </c>
      <c r="F163" t="inlineStr">
        <is>
          <t>HALLANDS LÄN</t>
        </is>
      </c>
      <c r="G163" t="inlineStr">
        <is>
          <t>LAHOLM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46249</v>
      </c>
      <c r="F164" t="inlineStr">
        <is>
          <t>HALLANDS LÄN</t>
        </is>
      </c>
      <c r="G164" t="inlineStr">
        <is>
          <t>LAHOLM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46249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46249</v>
      </c>
      <c r="F166" t="inlineStr">
        <is>
          <t>HALLANDS LÄN</t>
        </is>
      </c>
      <c r="G166" t="inlineStr">
        <is>
          <t>LAHOLM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46249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46249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45166</v>
      </c>
      <c r="E169" s="1" t="n">
        <v>46249</v>
      </c>
      <c r="F169" t="inlineStr">
        <is>
          <t>HALLANDS LÄN</t>
        </is>
      </c>
      <c r="G169" t="inlineStr">
        <is>
          <t>LAHOLM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46249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46249</v>
      </c>
      <c r="F171" t="inlineStr">
        <is>
          <t>HALLANDS LÄN</t>
        </is>
      </c>
      <c r="G171" t="inlineStr">
        <is>
          <t>LAHOLM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46249</v>
      </c>
      <c r="F172" t="inlineStr">
        <is>
          <t>HALLANDS LÄN</t>
        </is>
      </c>
      <c r="G172" t="inlineStr">
        <is>
          <t>LAHOLM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46249</v>
      </c>
      <c r="F173" t="inlineStr">
        <is>
          <t>HALLANDS LÄN</t>
        </is>
      </c>
      <c r="G173" t="inlineStr">
        <is>
          <t>LAHOLM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46249</v>
      </c>
      <c r="F174" t="inlineStr">
        <is>
          <t>HALLANDS LÄN</t>
        </is>
      </c>
      <c r="G174" t="inlineStr">
        <is>
          <t>LAHOLM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46249</v>
      </c>
      <c r="F175" t="inlineStr">
        <is>
          <t>HALLANDS LÄN</t>
        </is>
      </c>
      <c r="G175" t="inlineStr">
        <is>
          <t>LAHOLM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44909</v>
      </c>
      <c r="E176" s="1" t="n">
        <v>46249</v>
      </c>
      <c r="F176" t="inlineStr">
        <is>
          <t>HALLANDS LÄN</t>
        </is>
      </c>
      <c r="G176" t="inlineStr">
        <is>
          <t>LAHOLM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46249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46249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46249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46249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44462</v>
      </c>
      <c r="E181" s="1" t="n">
        <v>46249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46249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46249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46249</v>
      </c>
      <c r="F184" t="inlineStr">
        <is>
          <t>HALLANDS LÄN</t>
        </is>
      </c>
      <c r="G184" t="inlineStr">
        <is>
          <t>LAHOLM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46249</v>
      </c>
      <c r="F185" t="inlineStr">
        <is>
          <t>HALLANDS LÄN</t>
        </is>
      </c>
      <c r="G185" t="inlineStr">
        <is>
          <t>LAHOLM</t>
        </is>
      </c>
      <c r="H185" t="inlineStr">
        <is>
          <t>Övriga statliga verk och myndigheter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46249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57135-2022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46249</v>
      </c>
      <c r="F187" t="inlineStr">
        <is>
          <t>HALLANDS LÄN</t>
        </is>
      </c>
      <c r="G187" t="inlineStr">
        <is>
          <t>LAHOLM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45282</v>
      </c>
      <c r="E188" s="1" t="n">
        <v>46249</v>
      </c>
      <c r="F188" t="inlineStr">
        <is>
          <t>HALLANDS LÄN</t>
        </is>
      </c>
      <c r="G188" t="inlineStr">
        <is>
          <t>LAHOLM</t>
        </is>
      </c>
      <c r="H188" t="inlineStr">
        <is>
          <t>Övriga Aktiebolag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46249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46249</v>
      </c>
      <c r="F190" t="inlineStr">
        <is>
          <t>HALLANDS LÄN</t>
        </is>
      </c>
      <c r="G190" t="inlineStr">
        <is>
          <t>LAHOLM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46249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46249</v>
      </c>
      <c r="F192" t="inlineStr">
        <is>
          <t>HALLANDS LÄN</t>
        </is>
      </c>
      <c r="G192" t="inlineStr">
        <is>
          <t>LAHOLM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46249</v>
      </c>
      <c r="F193" t="inlineStr">
        <is>
          <t>HALLANDS LÄN</t>
        </is>
      </c>
      <c r="G193" t="inlineStr">
        <is>
          <t>LAHOLM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44469</v>
      </c>
      <c r="E194" s="1" t="n">
        <v>46249</v>
      </c>
      <c r="F194" t="inlineStr">
        <is>
          <t>HALLANDS LÄN</t>
        </is>
      </c>
      <c r="G194" t="inlineStr">
        <is>
          <t>LAHOLM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46249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46249</v>
      </c>
      <c r="F196" t="inlineStr">
        <is>
          <t>HALLANDS LÄN</t>
        </is>
      </c>
      <c r="G196" t="inlineStr">
        <is>
          <t>LAHOLM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44774</v>
      </c>
      <c r="E197" s="1" t="n">
        <v>46249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46249</v>
      </c>
      <c r="F198" t="inlineStr">
        <is>
          <t>HALLANDS LÄN</t>
        </is>
      </c>
      <c r="G198" t="inlineStr">
        <is>
          <t>LAHOLM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46249</v>
      </c>
      <c r="F199" t="inlineStr">
        <is>
          <t>HALLANDS LÄN</t>
        </is>
      </c>
      <c r="G199" t="inlineStr">
        <is>
          <t>LAHOLM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61711-2021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46249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46249</v>
      </c>
      <c r="F201" t="inlineStr">
        <is>
          <t>HALLANDS LÄN</t>
        </is>
      </c>
      <c r="G201" t="inlineStr">
        <is>
          <t>LAHOLM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46249</v>
      </c>
      <c r="F202" t="inlineStr">
        <is>
          <t>HALLANDS LÄN</t>
        </is>
      </c>
      <c r="G202" t="inlineStr">
        <is>
          <t>LAHOLM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46249</v>
      </c>
      <c r="F203" t="inlineStr">
        <is>
          <t>HALLANDS LÄN</t>
        </is>
      </c>
      <c r="G203" t="inlineStr">
        <is>
          <t>LAHOLM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46249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46249</v>
      </c>
      <c r="F205" t="inlineStr">
        <is>
          <t>HALLANDS LÄN</t>
        </is>
      </c>
      <c r="G205" t="inlineStr">
        <is>
          <t>LAHOLM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46249</v>
      </c>
      <c r="F206" t="inlineStr">
        <is>
          <t>HALLANDS LÄN</t>
        </is>
      </c>
      <c r="G206" t="inlineStr">
        <is>
          <t>LAHOLM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46249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44726</v>
      </c>
      <c r="E208" s="1" t="n">
        <v>46249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46249</v>
      </c>
      <c r="F209" t="inlineStr">
        <is>
          <t>HALLANDS LÄN</t>
        </is>
      </c>
      <c r="G209" t="inlineStr">
        <is>
          <t>LAHOLM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46249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46249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46249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46249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46249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46249</v>
      </c>
      <c r="F215" t="inlineStr">
        <is>
          <t>HALLANDS LÄN</t>
        </is>
      </c>
      <c r="G215" t="inlineStr">
        <is>
          <t>LAHOLM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45274</v>
      </c>
      <c r="E216" s="1" t="n">
        <v>46249</v>
      </c>
      <c r="F216" t="inlineStr">
        <is>
          <t>HALLANDS LÄN</t>
        </is>
      </c>
      <c r="G216" t="inlineStr">
        <is>
          <t>LAHOLM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46135</v>
      </c>
      <c r="E217" s="1" t="n">
        <v>46249</v>
      </c>
      <c r="F217" t="inlineStr">
        <is>
          <t>HALLANDS LÄN</t>
        </is>
      </c>
      <c r="G217" t="inlineStr">
        <is>
          <t>LAHOLM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46249</v>
      </c>
      <c r="F218" t="inlineStr">
        <is>
          <t>HALLANDS LÄN</t>
        </is>
      </c>
      <c r="G218" t="inlineStr">
        <is>
          <t>LAHOLM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46249</v>
      </c>
      <c r="F219" t="inlineStr">
        <is>
          <t>HALLANDS LÄN</t>
        </is>
      </c>
      <c r="G219" t="inlineStr">
        <is>
          <t>LAHOLM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46249</v>
      </c>
      <c r="F220" t="inlineStr">
        <is>
          <t>HALLANDS LÄN</t>
        </is>
      </c>
      <c r="G220" t="inlineStr">
        <is>
          <t>LAHOLM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45658</v>
      </c>
      <c r="E221" s="1" t="n">
        <v>46249</v>
      </c>
      <c r="F221" t="inlineStr">
        <is>
          <t>HALLANDS LÄN</t>
        </is>
      </c>
      <c r="G221" t="inlineStr">
        <is>
          <t>LAHOLM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46249</v>
      </c>
      <c r="F222" t="inlineStr">
        <is>
          <t>HALLANDS LÄN</t>
        </is>
      </c>
      <c r="G222" t="inlineStr">
        <is>
          <t>LAHOLM</t>
        </is>
      </c>
      <c r="H222" t="inlineStr">
        <is>
          <t>Naturvårdsverket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46249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46249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46249</v>
      </c>
      <c r="F225" t="inlineStr">
        <is>
          <t>HALLANDS LÄN</t>
        </is>
      </c>
      <c r="G225" t="inlineStr">
        <is>
          <t>LAHOLM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46249</v>
      </c>
      <c r="F226" t="inlineStr">
        <is>
          <t>HALLANDS LÄN</t>
        </is>
      </c>
      <c r="G226" t="inlineStr">
        <is>
          <t>LAHOLM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46249</v>
      </c>
      <c r="F227" t="inlineStr">
        <is>
          <t>HALLANDS LÄN</t>
        </is>
      </c>
      <c r="G227" t="inlineStr">
        <is>
          <t>LAHOLM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46249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46249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46249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46249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46249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46249</v>
      </c>
      <c r="F233" t="inlineStr">
        <is>
          <t>HALLANDS LÄN</t>
        </is>
      </c>
      <c r="G233" t="inlineStr">
        <is>
          <t>LAHOLM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46249</v>
      </c>
      <c r="F234" t="inlineStr">
        <is>
          <t>HALLANDS LÄN</t>
        </is>
      </c>
      <c r="G234" t="inlineStr">
        <is>
          <t>LAHOLM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46249</v>
      </c>
      <c r="F235" t="inlineStr">
        <is>
          <t>HALLANDS LÄN</t>
        </is>
      </c>
      <c r="G235" t="inlineStr">
        <is>
          <t>LAHOLM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46249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45027</v>
      </c>
      <c r="E237" s="1" t="n">
        <v>46249</v>
      </c>
      <c r="F237" t="inlineStr">
        <is>
          <t>HALLANDS LÄN</t>
        </is>
      </c>
      <c r="G237" t="inlineStr">
        <is>
          <t>LAHOLM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46249</v>
      </c>
      <c r="F238" t="inlineStr">
        <is>
          <t>HALLANDS LÄN</t>
        </is>
      </c>
      <c r="G238" t="inlineStr">
        <is>
          <t>LAHOLM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46038</v>
      </c>
      <c r="E239" s="1" t="n">
        <v>46249</v>
      </c>
      <c r="F239" t="inlineStr">
        <is>
          <t>HALLANDS LÄN</t>
        </is>
      </c>
      <c r="G239" t="inlineStr">
        <is>
          <t>LAHOLM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46249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46249</v>
      </c>
      <c r="F241" t="inlineStr">
        <is>
          <t>HALLANDS LÄN</t>
        </is>
      </c>
      <c r="G241" t="inlineStr">
        <is>
          <t>LAHOLM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46249</v>
      </c>
      <c r="F242" t="inlineStr">
        <is>
          <t>HALLANDS LÄN</t>
        </is>
      </c>
      <c r="G242" t="inlineStr">
        <is>
          <t>LAHOLM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45057</v>
      </c>
      <c r="E243" s="1" t="n">
        <v>46249</v>
      </c>
      <c r="F243" t="inlineStr">
        <is>
          <t>HALLANDS LÄN</t>
        </is>
      </c>
      <c r="G243" t="inlineStr">
        <is>
          <t>LAHOLM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46249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46249</v>
      </c>
      <c r="F245" t="inlineStr">
        <is>
          <t>HALLANDS LÄN</t>
        </is>
      </c>
      <c r="G245" t="inlineStr">
        <is>
          <t>LAHOLM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46249</v>
      </c>
      <c r="F246" t="inlineStr">
        <is>
          <t>HALLANDS LÄN</t>
        </is>
      </c>
      <c r="G246" t="inlineStr">
        <is>
          <t>LAHOLM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46249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46249</v>
      </c>
      <c r="F248" t="inlineStr">
        <is>
          <t>HALLANDS LÄN</t>
        </is>
      </c>
      <c r="G248" t="inlineStr">
        <is>
          <t>LAHOLM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46249</v>
      </c>
      <c r="F249" t="inlineStr">
        <is>
          <t>HALLANDS LÄN</t>
        </is>
      </c>
      <c r="G249" t="inlineStr">
        <is>
          <t>LAHOLM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46249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46249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46249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46249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46249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46249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46249</v>
      </c>
      <c r="F256" t="inlineStr">
        <is>
          <t>HALLANDS LÄN</t>
        </is>
      </c>
      <c r="G256" t="inlineStr">
        <is>
          <t>LAHOLM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46249</v>
      </c>
      <c r="F257" t="inlineStr">
        <is>
          <t>HALLANDS LÄN</t>
        </is>
      </c>
      <c r="G257" t="inlineStr">
        <is>
          <t>LAHOLM</t>
        </is>
      </c>
      <c r="H257" t="inlineStr">
        <is>
          <t>Kyrkan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46249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60152-2022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46249</v>
      </c>
      <c r="F259" t="inlineStr">
        <is>
          <t>HALLANDS LÄN</t>
        </is>
      </c>
      <c r="G259" t="inlineStr">
        <is>
          <t>LAHOLM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46249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46249</v>
      </c>
      <c r="F261" t="inlineStr">
        <is>
          <t>HALLANDS LÄN</t>
        </is>
      </c>
      <c r="G261" t="inlineStr">
        <is>
          <t>LAHOLM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44603</v>
      </c>
      <c r="E262" s="1" t="n">
        <v>46249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46249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46249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46249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60021-2022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46249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46249</v>
      </c>
      <c r="F267" t="inlineStr">
        <is>
          <t>HALLANDS LÄN</t>
        </is>
      </c>
      <c r="G267" t="inlineStr">
        <is>
          <t>LAHOLM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46249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45195</v>
      </c>
      <c r="E269" s="1" t="n">
        <v>46249</v>
      </c>
      <c r="F269" t="inlineStr">
        <is>
          <t>HALLANDS LÄN</t>
        </is>
      </c>
      <c r="G269" t="inlineStr">
        <is>
          <t>LAHOLM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46249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44928</v>
      </c>
      <c r="E271" s="1" t="n">
        <v>46249</v>
      </c>
      <c r="F271" t="inlineStr">
        <is>
          <t>HALLANDS LÄN</t>
        </is>
      </c>
      <c r="G271" t="inlineStr">
        <is>
          <t>LAHOLM</t>
        </is>
      </c>
      <c r="H271" t="inlineStr">
        <is>
          <t>Kommuner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45299</v>
      </c>
      <c r="E272" s="1" t="n">
        <v>46249</v>
      </c>
      <c r="F272" t="inlineStr">
        <is>
          <t>HALLANDS LÄN</t>
        </is>
      </c>
      <c r="G272" t="inlineStr">
        <is>
          <t>LAHOLM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46249</v>
      </c>
      <c r="F273" t="inlineStr">
        <is>
          <t>HALLANDS LÄN</t>
        </is>
      </c>
      <c r="G273" t="inlineStr">
        <is>
          <t>LAHOLM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45664</v>
      </c>
      <c r="E274" s="1" t="n">
        <v>46249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46249</v>
      </c>
      <c r="F275" t="inlineStr">
        <is>
          <t>HALLANDS LÄN</t>
        </is>
      </c>
      <c r="G275" t="inlineStr">
        <is>
          <t>LAHOLM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46249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46249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46249</v>
      </c>
      <c r="F278" t="inlineStr">
        <is>
          <t>HALLANDS LÄN</t>
        </is>
      </c>
      <c r="G278" t="inlineStr">
        <is>
          <t>LAHOLM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46249</v>
      </c>
      <c r="F279" t="inlineStr">
        <is>
          <t>HALLANDS LÄN</t>
        </is>
      </c>
      <c r="G279" t="inlineStr">
        <is>
          <t>LAHOLM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46249</v>
      </c>
      <c r="F280" t="inlineStr">
        <is>
          <t>HALLANDS LÄN</t>
        </is>
      </c>
      <c r="G280" t="inlineStr">
        <is>
          <t>LAHOLM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46249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46249</v>
      </c>
      <c r="F282" t="inlineStr">
        <is>
          <t>HALLANDS LÄN</t>
        </is>
      </c>
      <c r="G282" t="inlineStr">
        <is>
          <t>LAHOLM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46249</v>
      </c>
      <c r="F283" t="inlineStr">
        <is>
          <t>HALLANDS LÄN</t>
        </is>
      </c>
      <c r="G283" t="inlineStr">
        <is>
          <t>LAHOLM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46249</v>
      </c>
      <c r="F284" t="inlineStr">
        <is>
          <t>HALLANDS LÄN</t>
        </is>
      </c>
      <c r="G284" t="inlineStr">
        <is>
          <t>LAHOLM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46249</v>
      </c>
      <c r="F285" t="inlineStr">
        <is>
          <t>HALLANDS LÄN</t>
        </is>
      </c>
      <c r="G285" t="inlineStr">
        <is>
          <t>LAHOLM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46249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46249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46249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46249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45130</v>
      </c>
      <c r="E290" s="1" t="n">
        <v>46249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46249</v>
      </c>
      <c r="F291" t="inlineStr">
        <is>
          <t>HALLANDS LÄN</t>
        </is>
      </c>
      <c r="G291" t="inlineStr">
        <is>
          <t>LAHOLM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46249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46249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46249</v>
      </c>
      <c r="F294" t="inlineStr">
        <is>
          <t>HALLANDS LÄN</t>
        </is>
      </c>
      <c r="G294" t="inlineStr">
        <is>
          <t>LAHOLM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46249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Aktiebolag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52168-2021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44463</v>
      </c>
      <c r="E296" s="1" t="n">
        <v>46249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46249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44491</v>
      </c>
      <c r="E298" s="1" t="n">
        <v>46249</v>
      </c>
      <c r="F298" t="inlineStr">
        <is>
          <t>HALLANDS LÄN</t>
        </is>
      </c>
      <c r="G298" t="inlineStr">
        <is>
          <t>LAHOLM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46249</v>
      </c>
      <c r="F299" t="inlineStr">
        <is>
          <t>HALLANDS LÄN</t>
        </is>
      </c>
      <c r="G299" t="inlineStr">
        <is>
          <t>LAHOLM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46249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46249</v>
      </c>
      <c r="F301" t="inlineStr">
        <is>
          <t>HALLANDS LÄN</t>
        </is>
      </c>
      <c r="G301" t="inlineStr">
        <is>
          <t>LAHOLM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46249</v>
      </c>
      <c r="F302" t="inlineStr">
        <is>
          <t>HALLANDS LÄN</t>
        </is>
      </c>
      <c r="G302" t="inlineStr">
        <is>
          <t>LAHOLM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46249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46249</v>
      </c>
      <c r="F304" t="inlineStr">
        <is>
          <t>HALLANDS LÄN</t>
        </is>
      </c>
      <c r="G304" t="inlineStr">
        <is>
          <t>LAHOLM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45349</v>
      </c>
      <c r="E305" s="1" t="n">
        <v>46249</v>
      </c>
      <c r="F305" t="inlineStr">
        <is>
          <t>HALLANDS LÄN</t>
        </is>
      </c>
      <c r="G305" t="inlineStr">
        <is>
          <t>LAHOLM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46249</v>
      </c>
      <c r="F306" t="inlineStr">
        <is>
          <t>HALLANDS LÄN</t>
        </is>
      </c>
      <c r="G306" t="inlineStr">
        <is>
          <t>LAHOLM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46249</v>
      </c>
      <c r="F307" t="inlineStr">
        <is>
          <t>HALLANDS LÄN</t>
        </is>
      </c>
      <c r="G307" t="inlineStr">
        <is>
          <t>LAHOLM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46249</v>
      </c>
      <c r="F308" t="inlineStr">
        <is>
          <t>HALLANDS LÄN</t>
        </is>
      </c>
      <c r="G308" t="inlineStr">
        <is>
          <t>LAHOLM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45022</v>
      </c>
      <c r="E309" s="1" t="n">
        <v>46249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67861-2021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44525</v>
      </c>
      <c r="E310" s="1" t="n">
        <v>46249</v>
      </c>
      <c r="F310" t="inlineStr">
        <is>
          <t>HALLANDS LÄN</t>
        </is>
      </c>
      <c r="G310" t="inlineStr">
        <is>
          <t>LAHOLM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46249</v>
      </c>
      <c r="F311" t="inlineStr">
        <is>
          <t>HALLANDS LÄN</t>
        </is>
      </c>
      <c r="G311" t="inlineStr">
        <is>
          <t>LAHOLM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46249</v>
      </c>
      <c r="F312" t="inlineStr">
        <is>
          <t>HALLANDS LÄN</t>
        </is>
      </c>
      <c r="G312" t="inlineStr">
        <is>
          <t>LAHOLM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46249</v>
      </c>
      <c r="F313" t="inlineStr">
        <is>
          <t>HALLANDS LÄN</t>
        </is>
      </c>
      <c r="G313" t="inlineStr">
        <is>
          <t>LAHOLM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46249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46249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45699</v>
      </c>
      <c r="E316" s="1" t="n">
        <v>46249</v>
      </c>
      <c r="F316" t="inlineStr">
        <is>
          <t>HALLANDS LÄN</t>
        </is>
      </c>
      <c r="G316" t="inlineStr">
        <is>
          <t>LAHOLM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46249</v>
      </c>
      <c r="F317" t="inlineStr">
        <is>
          <t>HALLANDS LÄN</t>
        </is>
      </c>
      <c r="G317" t="inlineStr">
        <is>
          <t>LAHOLM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46249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46249</v>
      </c>
      <c r="F319" t="inlineStr">
        <is>
          <t>HALLANDS LÄN</t>
        </is>
      </c>
      <c r="G319" t="inlineStr">
        <is>
          <t>LAHOLM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46249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46249</v>
      </c>
      <c r="F321" t="inlineStr">
        <is>
          <t>HALLANDS LÄN</t>
        </is>
      </c>
      <c r="G321" t="inlineStr">
        <is>
          <t>LAHOLM</t>
        </is>
      </c>
      <c r="H321" t="inlineStr">
        <is>
          <t>Kommuner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46249</v>
      </c>
      <c r="F322" t="inlineStr">
        <is>
          <t>HALLANDS LÄN</t>
        </is>
      </c>
      <c r="G322" t="inlineStr">
        <is>
          <t>LAHOLM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45354-2024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45576</v>
      </c>
      <c r="E323" s="1" t="n">
        <v>46249</v>
      </c>
      <c r="F323" t="inlineStr">
        <is>
          <t>HALLANDS LÄN</t>
        </is>
      </c>
      <c r="G323" t="inlineStr">
        <is>
          <t>LAHOLM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46249</v>
      </c>
      <c r="F324" t="inlineStr">
        <is>
          <t>HALLANDS LÄN</t>
        </is>
      </c>
      <c r="G324" t="inlineStr">
        <is>
          <t>LAHOLM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46249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46249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46249</v>
      </c>
      <c r="F327" t="inlineStr">
        <is>
          <t>HALLANDS LÄN</t>
        </is>
      </c>
      <c r="G327" t="inlineStr">
        <is>
          <t>LAHOLM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46249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46249</v>
      </c>
      <c r="F329" t="inlineStr">
        <is>
          <t>HALLANDS LÄN</t>
        </is>
      </c>
      <c r="G329" t="inlineStr">
        <is>
          <t>LAHOLM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45000</v>
      </c>
      <c r="E330" s="1" t="n">
        <v>46249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46249</v>
      </c>
      <c r="F331" t="inlineStr">
        <is>
          <t>HALLANDS LÄN</t>
        </is>
      </c>
      <c r="G331" t="inlineStr">
        <is>
          <t>LAHOLM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46249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46249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46249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46249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45139</v>
      </c>
      <c r="E336" s="1" t="n">
        <v>46249</v>
      </c>
      <c r="F336" t="inlineStr">
        <is>
          <t>HALLANDS LÄN</t>
        </is>
      </c>
      <c r="G336" t="inlineStr">
        <is>
          <t>LAHOLM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45139</v>
      </c>
      <c r="E337" s="1" t="n">
        <v>46249</v>
      </c>
      <c r="F337" t="inlineStr">
        <is>
          <t>HALLANDS LÄN</t>
        </is>
      </c>
      <c r="G337" t="inlineStr">
        <is>
          <t>LAHOLM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46249</v>
      </c>
      <c r="F338" t="inlineStr">
        <is>
          <t>HALLANDS LÄN</t>
        </is>
      </c>
      <c r="G338" t="inlineStr">
        <is>
          <t>LAHOLM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46249</v>
      </c>
      <c r="F339" t="inlineStr">
        <is>
          <t>HALLANDS LÄN</t>
        </is>
      </c>
      <c r="G339" t="inlineStr">
        <is>
          <t>LAHOLM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46249</v>
      </c>
      <c r="F340" t="inlineStr">
        <is>
          <t>HALLANDS LÄN</t>
        </is>
      </c>
      <c r="G340" t="inlineStr">
        <is>
          <t>LAHOLM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46249</v>
      </c>
      <c r="F341" t="inlineStr">
        <is>
          <t>HALLANDS LÄN</t>
        </is>
      </c>
      <c r="G341" t="inlineStr">
        <is>
          <t>LAHOLM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46249</v>
      </c>
      <c r="F342" t="inlineStr">
        <is>
          <t>HALLANDS LÄN</t>
        </is>
      </c>
      <c r="G342" t="inlineStr">
        <is>
          <t>LAHOLM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60341-2024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45643</v>
      </c>
      <c r="E343" s="1" t="n">
        <v>46249</v>
      </c>
      <c r="F343" t="inlineStr">
        <is>
          <t>HALLANDS LÄN</t>
        </is>
      </c>
      <c r="G343" t="inlineStr">
        <is>
          <t>LAHOLM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45734</v>
      </c>
      <c r="E344" s="1" t="n">
        <v>46249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46249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46249</v>
      </c>
      <c r="F346" t="inlineStr">
        <is>
          <t>HALLANDS LÄN</t>
        </is>
      </c>
      <c r="G346" t="inlineStr">
        <is>
          <t>LAHOLM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46222</v>
      </c>
      <c r="E347" s="1" t="n">
        <v>46249</v>
      </c>
      <c r="F347" t="inlineStr">
        <is>
          <t>HALLANDS LÄN</t>
        </is>
      </c>
      <c r="G347" t="inlineStr">
        <is>
          <t>LAHOLM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46249</v>
      </c>
      <c r="F348" t="inlineStr">
        <is>
          <t>HALLANDS LÄN</t>
        </is>
      </c>
      <c r="G348" t="inlineStr">
        <is>
          <t>LAHOLM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35891-2022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44802</v>
      </c>
      <c r="E349" s="1" t="n">
        <v>46249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27223-2026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46184</v>
      </c>
      <c r="E350" s="1" t="n">
        <v>46249</v>
      </c>
      <c r="F350" t="inlineStr">
        <is>
          <t>HALLANDS LÄN</t>
        </is>
      </c>
      <c r="G350" t="inlineStr">
        <is>
          <t>LAHOLM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46249</v>
      </c>
      <c r="F351" t="inlineStr">
        <is>
          <t>HALLANDS LÄN</t>
        </is>
      </c>
      <c r="G351" t="inlineStr">
        <is>
          <t>LAHOLM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46249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44594</v>
      </c>
      <c r="E353" s="1" t="n">
        <v>46249</v>
      </c>
      <c r="F353" t="inlineStr">
        <is>
          <t>HALLANDS LÄN</t>
        </is>
      </c>
      <c r="G353" t="inlineStr">
        <is>
          <t>LAHOLM</t>
        </is>
      </c>
      <c r="H353" t="inlineStr">
        <is>
          <t>Kommuner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46249</v>
      </c>
      <c r="F354" t="inlineStr">
        <is>
          <t>HALLANDS LÄN</t>
        </is>
      </c>
      <c r="G354" t="inlineStr">
        <is>
          <t>LAHOLM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46249</v>
      </c>
      <c r="F355" t="inlineStr">
        <is>
          <t>HALLANDS LÄN</t>
        </is>
      </c>
      <c r="G355" t="inlineStr">
        <is>
          <t>LAHOLM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69589-2021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46249</v>
      </c>
      <c r="F356" t="inlineStr">
        <is>
          <t>HALLANDS LÄN</t>
        </is>
      </c>
      <c r="G356" t="inlineStr">
        <is>
          <t>LAHOLM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46249</v>
      </c>
      <c r="F357" t="inlineStr">
        <is>
          <t>HALLANDS LÄN</t>
        </is>
      </c>
      <c r="G357" t="inlineStr">
        <is>
          <t>LAHOLM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46249</v>
      </c>
      <c r="F358" t="inlineStr">
        <is>
          <t>HALLANDS LÄN</t>
        </is>
      </c>
      <c r="G358" t="inlineStr">
        <is>
          <t>LAHOLM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46249</v>
      </c>
      <c r="F359" t="inlineStr">
        <is>
          <t>HALLANDS LÄN</t>
        </is>
      </c>
      <c r="G359" t="inlineStr">
        <is>
          <t>LAHOLM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46249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46249</v>
      </c>
      <c r="F361" t="inlineStr">
        <is>
          <t>HALLANDS LÄN</t>
        </is>
      </c>
      <c r="G361" t="inlineStr">
        <is>
          <t>LAHOLM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45152</v>
      </c>
      <c r="E362" s="1" t="n">
        <v>46249</v>
      </c>
      <c r="F362" t="inlineStr">
        <is>
          <t>HALLANDS LÄN</t>
        </is>
      </c>
      <c r="G362" t="inlineStr">
        <is>
          <t>LAHOLM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46249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46249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46249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45179</v>
      </c>
      <c r="E366" s="1" t="n">
        <v>46249</v>
      </c>
      <c r="F366" t="inlineStr">
        <is>
          <t>HALLANDS LÄN</t>
        </is>
      </c>
      <c r="G366" t="inlineStr">
        <is>
          <t>LAHOLM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46249</v>
      </c>
      <c r="F367" t="inlineStr">
        <is>
          <t>HALLANDS LÄN</t>
        </is>
      </c>
      <c r="G367" t="inlineStr">
        <is>
          <t>LAHOLM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45093</v>
      </c>
      <c r="E368" s="1" t="n">
        <v>46249</v>
      </c>
      <c r="F368" t="inlineStr">
        <is>
          <t>HALLANDS LÄN</t>
        </is>
      </c>
      <c r="G368" t="inlineStr">
        <is>
          <t>LAHOLM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46249</v>
      </c>
      <c r="F369" t="inlineStr">
        <is>
          <t>HALLANDS LÄN</t>
        </is>
      </c>
      <c r="G369" t="inlineStr">
        <is>
          <t>LAHOLM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45174</v>
      </c>
      <c r="E370" s="1" t="n">
        <v>46249</v>
      </c>
      <c r="F370" t="inlineStr">
        <is>
          <t>HALLANDS LÄN</t>
        </is>
      </c>
      <c r="G370" t="inlineStr">
        <is>
          <t>LAHOLM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46249</v>
      </c>
      <c r="F371" t="inlineStr">
        <is>
          <t>HALLANDS LÄN</t>
        </is>
      </c>
      <c r="G371" t="inlineStr">
        <is>
          <t>LAHOLM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46249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46249</v>
      </c>
      <c r="F373" t="inlineStr">
        <is>
          <t>HALLANDS LÄN</t>
        </is>
      </c>
      <c r="G373" t="inlineStr">
        <is>
          <t>LAHOLM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46237</v>
      </c>
      <c r="E374" s="1" t="n">
        <v>46249</v>
      </c>
      <c r="F374" t="inlineStr">
        <is>
          <t>HALLANDS LÄN</t>
        </is>
      </c>
      <c r="G374" t="inlineStr">
        <is>
          <t>LAHOLM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46249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44753</v>
      </c>
      <c r="E376" s="1" t="n">
        <v>46249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46249</v>
      </c>
      <c r="F377" t="inlineStr">
        <is>
          <t>HALLANDS LÄN</t>
        </is>
      </c>
      <c r="G377" t="inlineStr">
        <is>
          <t>LAHOLM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46249</v>
      </c>
      <c r="F378" t="inlineStr">
        <is>
          <t>HALLANDS LÄN</t>
        </is>
      </c>
      <c r="G378" t="inlineStr">
        <is>
          <t>LAHOLM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45171</v>
      </c>
      <c r="E379" s="1" t="n">
        <v>46249</v>
      </c>
      <c r="F379" t="inlineStr">
        <is>
          <t>HALLANDS LÄN</t>
        </is>
      </c>
      <c r="G379" t="inlineStr">
        <is>
          <t>LAHOLM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46249</v>
      </c>
      <c r="F380" t="inlineStr">
        <is>
          <t>HALLANDS LÄN</t>
        </is>
      </c>
      <c r="G380" t="inlineStr">
        <is>
          <t>LAHOLM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46249</v>
      </c>
      <c r="F381" t="inlineStr">
        <is>
          <t>HALLANDS LÄN</t>
        </is>
      </c>
      <c r="G381" t="inlineStr">
        <is>
          <t>LAHOLM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46249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46249</v>
      </c>
      <c r="F383" t="inlineStr">
        <is>
          <t>HALLANDS LÄN</t>
        </is>
      </c>
      <c r="G383" t="inlineStr">
        <is>
          <t>LAHOLM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46249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46249</v>
      </c>
      <c r="F385" t="inlineStr">
        <is>
          <t>HALLANDS LÄN</t>
        </is>
      </c>
      <c r="G385" t="inlineStr">
        <is>
          <t>LAHOLM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45734</v>
      </c>
      <c r="E386" s="1" t="n">
        <v>46249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45337</v>
      </c>
      <c r="E387" s="1" t="n">
        <v>46249</v>
      </c>
      <c r="F387" t="inlineStr">
        <is>
          <t>HALLANDS LÄN</t>
        </is>
      </c>
      <c r="G387" t="inlineStr">
        <is>
          <t>LAHOLM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45802</v>
      </c>
      <c r="E388" s="1" t="n">
        <v>46249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46249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58557-2022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44902</v>
      </c>
      <c r="E390" s="1" t="n">
        <v>46249</v>
      </c>
      <c r="F390" t="inlineStr">
        <is>
          <t>HALLANDS LÄN</t>
        </is>
      </c>
      <c r="G390" t="inlineStr">
        <is>
          <t>LAHOLM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46249</v>
      </c>
      <c r="F391" t="inlineStr">
        <is>
          <t>HALLANDS LÄN</t>
        </is>
      </c>
      <c r="G391" t="inlineStr">
        <is>
          <t>LAHOLM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46249</v>
      </c>
      <c r="F392" t="inlineStr">
        <is>
          <t>HALLANDS LÄN</t>
        </is>
      </c>
      <c r="G392" t="inlineStr">
        <is>
          <t>LAHOLM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46249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45322</v>
      </c>
      <c r="E394" s="1" t="n">
        <v>46249</v>
      </c>
      <c r="F394" t="inlineStr">
        <is>
          <t>HALLANDS LÄN</t>
        </is>
      </c>
      <c r="G394" t="inlineStr">
        <is>
          <t>LAHOLM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46249</v>
      </c>
      <c r="F395" t="inlineStr">
        <is>
          <t>HALLANDS LÄN</t>
        </is>
      </c>
      <c r="G395" t="inlineStr">
        <is>
          <t>LAHOLM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46249</v>
      </c>
      <c r="F396" t="inlineStr">
        <is>
          <t>HALLANDS LÄN</t>
        </is>
      </c>
      <c r="G396" t="inlineStr">
        <is>
          <t>LAHOLM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45485</v>
      </c>
      <c r="E397" s="1" t="n">
        <v>46249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46249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46249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65916-2021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44517</v>
      </c>
      <c r="E400" s="1" t="n">
        <v>46249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46249</v>
      </c>
      <c r="F401" t="inlineStr">
        <is>
          <t>HALLANDS LÄN</t>
        </is>
      </c>
      <c r="G401" t="inlineStr">
        <is>
          <t>LAHOLM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45695</v>
      </c>
      <c r="E402" s="1" t="n">
        <v>46249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46249</v>
      </c>
      <c r="F403" t="inlineStr">
        <is>
          <t>HALLANDS LÄN</t>
        </is>
      </c>
      <c r="G403" t="inlineStr">
        <is>
          <t>LAHOLM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46249</v>
      </c>
      <c r="F404" t="inlineStr">
        <is>
          <t>HALLANDS LÄN</t>
        </is>
      </c>
      <c r="G404" t="inlineStr">
        <is>
          <t>LAHOLM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39903-2023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45168</v>
      </c>
      <c r="E405" s="1" t="n">
        <v>46249</v>
      </c>
      <c r="F405" t="inlineStr">
        <is>
          <t>HALLANDS LÄN</t>
        </is>
      </c>
      <c r="G405" t="inlineStr">
        <is>
          <t>LAHOLM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46249</v>
      </c>
      <c r="F406" t="inlineStr">
        <is>
          <t>HALLANDS LÄN</t>
        </is>
      </c>
      <c r="G406" t="inlineStr">
        <is>
          <t>LAHOLM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46249</v>
      </c>
      <c r="F407" t="inlineStr">
        <is>
          <t>HALLANDS LÄN</t>
        </is>
      </c>
      <c r="G407" t="inlineStr">
        <is>
          <t>LAHOLM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45343</v>
      </c>
      <c r="E408" s="1" t="n">
        <v>46249</v>
      </c>
      <c r="F408" t="inlineStr">
        <is>
          <t>HALLANDS LÄN</t>
        </is>
      </c>
      <c r="G408" t="inlineStr">
        <is>
          <t>LAHOLM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45730</v>
      </c>
      <c r="E409" s="1" t="n">
        <v>46249</v>
      </c>
      <c r="F409" t="inlineStr">
        <is>
          <t>HALLANDS LÄN</t>
        </is>
      </c>
      <c r="G409" t="inlineStr">
        <is>
          <t>LAHOLM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46249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46249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46249</v>
      </c>
      <c r="F412" t="inlineStr">
        <is>
          <t>HALLANDS LÄN</t>
        </is>
      </c>
      <c r="G412" t="inlineStr">
        <is>
          <t>LAHOLM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46249</v>
      </c>
      <c r="F413" t="inlineStr">
        <is>
          <t>HALLANDS LÄN</t>
        </is>
      </c>
      <c r="G413" t="inlineStr">
        <is>
          <t>LAHOLM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44645</v>
      </c>
      <c r="E414" s="1" t="n">
        <v>46249</v>
      </c>
      <c r="F414" t="inlineStr">
        <is>
          <t>HALLANDS LÄN</t>
        </is>
      </c>
      <c r="G414" t="inlineStr">
        <is>
          <t>LAHOLM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46249</v>
      </c>
      <c r="F415" t="inlineStr">
        <is>
          <t>HALLANDS LÄN</t>
        </is>
      </c>
      <c r="G415" t="inlineStr">
        <is>
          <t>LAHOLM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46317-2021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44442</v>
      </c>
      <c r="E416" s="1" t="n">
        <v>46249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57320-2021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44483</v>
      </c>
      <c r="E417" s="1" t="n">
        <v>46249</v>
      </c>
      <c r="F417" t="inlineStr">
        <is>
          <t>HALLANDS LÄN</t>
        </is>
      </c>
      <c r="G417" t="inlineStr">
        <is>
          <t>LAHOLM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73894-2021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44553</v>
      </c>
      <c r="E418" s="1" t="n">
        <v>46249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46249</v>
      </c>
      <c r="F419" t="inlineStr">
        <is>
          <t>HALLANDS LÄN</t>
        </is>
      </c>
      <c r="G419" t="inlineStr">
        <is>
          <t>LAHOLM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46249</v>
      </c>
      <c r="F420" t="inlineStr">
        <is>
          <t>HALLANDS LÄN</t>
        </is>
      </c>
      <c r="G420" t="inlineStr">
        <is>
          <t>LAHOLM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46249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40468-2024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46249</v>
      </c>
      <c r="F422" t="inlineStr">
        <is>
          <t>HALLANDS LÄN</t>
        </is>
      </c>
      <c r="G422" t="inlineStr">
        <is>
          <t>LAHOLM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46249</v>
      </c>
      <c r="F423" t="inlineStr">
        <is>
          <t>HALLANDS LÄN</t>
        </is>
      </c>
      <c r="G423" t="inlineStr">
        <is>
          <t>LAHOLM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46249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46249</v>
      </c>
      <c r="F425" t="inlineStr">
        <is>
          <t>HALLANDS LÄN</t>
        </is>
      </c>
      <c r="G425" t="inlineStr">
        <is>
          <t>LAHOLM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46249</v>
      </c>
      <c r="F426" t="inlineStr">
        <is>
          <t>HALLANDS LÄN</t>
        </is>
      </c>
      <c r="G426" t="inlineStr">
        <is>
          <t>LAHOLM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46249</v>
      </c>
      <c r="F427" t="inlineStr">
        <is>
          <t>HALLANDS LÄN</t>
        </is>
      </c>
      <c r="G427" t="inlineStr">
        <is>
          <t>LAHOLM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46249</v>
      </c>
      <c r="F428" t="inlineStr">
        <is>
          <t>HALLANDS LÄN</t>
        </is>
      </c>
      <c r="G428" t="inlineStr">
        <is>
          <t>LAHOLM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46249</v>
      </c>
      <c r="F429" t="inlineStr">
        <is>
          <t>HALLANDS LÄN</t>
        </is>
      </c>
      <c r="G429" t="inlineStr">
        <is>
          <t>LAHOLM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46249</v>
      </c>
      <c r="F430" t="inlineStr">
        <is>
          <t>HALLANDS LÄN</t>
        </is>
      </c>
      <c r="G430" t="inlineStr">
        <is>
          <t>LAHOLM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46249</v>
      </c>
      <c r="F431" t="inlineStr">
        <is>
          <t>HALLANDS LÄN</t>
        </is>
      </c>
      <c r="G431" t="inlineStr">
        <is>
          <t>LAHOLM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46249</v>
      </c>
      <c r="F432" t="inlineStr">
        <is>
          <t>HALLANDS LÄN</t>
        </is>
      </c>
      <c r="G432" t="inlineStr">
        <is>
          <t>LAHOLM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35603-2023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46249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46249</v>
      </c>
      <c r="F434" t="inlineStr">
        <is>
          <t>HALLANDS LÄN</t>
        </is>
      </c>
      <c r="G434" t="inlineStr">
        <is>
          <t>LAHOLM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46249</v>
      </c>
      <c r="F435" t="inlineStr">
        <is>
          <t>HALLANDS LÄN</t>
        </is>
      </c>
      <c r="G435" t="inlineStr">
        <is>
          <t>LAHOLM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45275</v>
      </c>
      <c r="E436" s="1" t="n">
        <v>46249</v>
      </c>
      <c r="F436" t="inlineStr">
        <is>
          <t>HALLANDS LÄN</t>
        </is>
      </c>
      <c r="G436" t="inlineStr">
        <is>
          <t>LAHOLM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46249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46249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46249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46249</v>
      </c>
      <c r="F440" t="inlineStr">
        <is>
          <t>HALLANDS LÄN</t>
        </is>
      </c>
      <c r="G440" t="inlineStr">
        <is>
          <t>LAHOLM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33255-2026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46246</v>
      </c>
      <c r="E441" s="1" t="n">
        <v>46249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46249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46249</v>
      </c>
      <c r="F443" t="inlineStr">
        <is>
          <t>HALLANDS LÄN</t>
        </is>
      </c>
      <c r="G443" t="inlineStr">
        <is>
          <t>LAHOLM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46246</v>
      </c>
      <c r="E444" s="1" t="n">
        <v>46249</v>
      </c>
      <c r="F444" t="inlineStr">
        <is>
          <t>HALLANDS LÄN</t>
        </is>
      </c>
      <c r="G444" t="inlineStr">
        <is>
          <t>LAHOLM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46249</v>
      </c>
      <c r="F445" t="inlineStr">
        <is>
          <t>HALLANDS LÄN</t>
        </is>
      </c>
      <c r="G445" t="inlineStr">
        <is>
          <t>LAHOLM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46249</v>
      </c>
      <c r="F446" t="inlineStr">
        <is>
          <t>HALLANDS LÄN</t>
        </is>
      </c>
      <c r="G446" t="inlineStr">
        <is>
          <t>LAHOLM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46249</v>
      </c>
      <c r="F447" t="inlineStr">
        <is>
          <t>HALLANDS LÄN</t>
        </is>
      </c>
      <c r="G447" t="inlineStr">
        <is>
          <t>LAHOLM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46249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1918-2024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46249</v>
      </c>
      <c r="F449" t="inlineStr">
        <is>
          <t>HALLANDS LÄN</t>
        </is>
      </c>
      <c r="G449" t="inlineStr">
        <is>
          <t>LAHOLM</t>
        </is>
      </c>
      <c r="I449" t="n">
        <v>39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838-2023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44992</v>
      </c>
      <c r="E450" s="1" t="n">
        <v>46249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878-2023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44995</v>
      </c>
      <c r="E451" s="1" t="n">
        <v>46249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9294-2021</t>
        </is>
      </c>
      <c r="B452" t="inlineStr">
        <is>
          <t>samrådsanmälan</t>
        </is>
      </c>
      <c r="C452" t="inlineStr">
        <is>
          <t>Skogsbilväg</t>
        </is>
      </c>
      <c r="D452" s="1" t="n">
        <v>44517</v>
      </c>
      <c r="E452" s="1" t="n">
        <v>46249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44931</v>
      </c>
      <c r="E453" s="1" t="n">
        <v>46249</v>
      </c>
      <c r="F453" t="inlineStr">
        <is>
          <t>HALLANDS LÄN</t>
        </is>
      </c>
      <c r="G453" t="inlineStr">
        <is>
          <t>LAHOLM</t>
        </is>
      </c>
      <c r="I453" t="n">
        <v>85.90000000000001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5031-2024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45635</v>
      </c>
      <c r="E454" s="1" t="n">
        <v>46249</v>
      </c>
      <c r="F454" t="inlineStr">
        <is>
          <t>HALLANDS LÄN</t>
        </is>
      </c>
      <c r="G454" t="inlineStr">
        <is>
          <t>LAHOLM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1608-2025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45799</v>
      </c>
      <c r="E455" s="1" t="n">
        <v>46249</v>
      </c>
      <c r="F455" t="inlineStr">
        <is>
          <t>HALLANDS LÄN</t>
        </is>
      </c>
      <c r="G455" t="inlineStr">
        <is>
          <t>LAHOLM</t>
        </is>
      </c>
      <c r="I455" t="n">
        <v>24.4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9701-2021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44526</v>
      </c>
      <c r="E456" s="1" t="n">
        <v>46249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2300-2025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45880</v>
      </c>
      <c r="E457" s="1" t="n">
        <v>46249</v>
      </c>
      <c r="F457" t="inlineStr">
        <is>
          <t>HALLANDS LÄN</t>
        </is>
      </c>
      <c r="G457" t="inlineStr">
        <is>
          <t>LAHOLM</t>
        </is>
      </c>
      <c r="I457" t="n">
        <v>55.6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2920-2025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45950</v>
      </c>
      <c r="E458" s="1" t="n">
        <v>46249</v>
      </c>
      <c r="F458" t="inlineStr">
        <is>
          <t>HALLANDS LÄN</t>
        </is>
      </c>
      <c r="G458" t="inlineStr">
        <is>
          <t>LAHOLM</t>
        </is>
      </c>
      <c r="I458" t="n">
        <v>30.1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46035</v>
      </c>
      <c r="E459" s="1" t="n">
        <v>46249</v>
      </c>
      <c r="F459" t="inlineStr">
        <is>
          <t>HALLANDS LÄN</t>
        </is>
      </c>
      <c r="G459" t="inlineStr">
        <is>
          <t>LAHOLM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442-2026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46072</v>
      </c>
      <c r="E460" s="1" t="n">
        <v>46249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46249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46249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674-2026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46249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721-2026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46094</v>
      </c>
      <c r="E464" s="1" t="n">
        <v>46249</v>
      </c>
      <c r="F464" t="inlineStr">
        <is>
          <t>HALLANDS LÄN</t>
        </is>
      </c>
      <c r="G464" t="inlineStr">
        <is>
          <t>LAHOLM</t>
        </is>
      </c>
      <c r="I464" t="n">
        <v>27.6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765-2026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46098</v>
      </c>
      <c r="E465" s="1" t="n">
        <v>46249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2026-08-15T08:27:02Z</dcterms:created>
  <dcterms:modified xmlns:dcterms="http://purl.org/dc/terms/" xmlns:xsi="http://www.w3.org/2001/XMLSchema-instance" xsi:type="dcterms:W3CDTF">2026-08-15T08:27:03Z</dcterms:modified>
</cp:coreProperties>
</file>