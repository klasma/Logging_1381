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1435-2022</t>
        </is>
      </c>
      <c r="B2" t="inlineStr">
        <is>
          <t>samrådsanmälan</t>
        </is>
      </c>
      <c r="C2" t="inlineStr">
        <is>
          <t>Askåterföring</t>
        </is>
      </c>
      <c r="D2" s="1" t="n">
        <v>44634</v>
      </c>
      <c r="E2" s="1" t="n">
        <v>46315</v>
      </c>
      <c r="F2" t="inlineStr">
        <is>
          <t>HALLANDS LÄN</t>
        </is>
      </c>
      <c r="G2" t="inlineStr">
        <is>
          <t>LAHOLM</t>
        </is>
      </c>
      <c r="I2" t="n">
        <v>77</v>
      </c>
      <c r="J2" t="n">
        <v>14</v>
      </c>
      <c r="K2" t="n">
        <v>0</v>
      </c>
      <c r="L2" t="n">
        <v>6</v>
      </c>
      <c r="M2" t="n">
        <v>3</v>
      </c>
      <c r="N2" t="n">
        <v>0</v>
      </c>
      <c r="O2" t="n">
        <v>0</v>
      </c>
      <c r="P2" t="n">
        <v>0</v>
      </c>
      <c r="Q2" t="n">
        <v>9</v>
      </c>
      <c r="R2" t="n">
        <v>3</v>
      </c>
      <c r="S2" t="n">
        <v>16</v>
      </c>
      <c r="T2" t="n">
        <v>19</v>
      </c>
      <c r="U2" t="n">
        <v>1</v>
      </c>
      <c r="V2" s="2" t="inlineStr">
        <is>
          <t>Grönfink
Hussvala
Stare
Björktrast
Gulsparv
Korallticka
Ladusvala
Skogshare
Sädesärla
Gröngöling
Grönsiska
Kråka
Kungsfågel
Svartvit flugsnappare
Trana
Ärtsångare</t>
        </is>
      </c>
      <c r="W2">
        <f>HYPERLINK("https://klasma.github.io/Logging_1381/artfynd/S 1435-2022 artfynd.xlsx", "S 1435-2022")</f>
        <v/>
      </c>
      <c r="X2">
        <f>HYPERLINK("https://klasma.github.io/Logging_1381/kartor/S 1435-2022 karta.png", "S 1435-2022")</f>
        <v/>
      </c>
      <c r="Y2">
        <f>HYPERLINK("https://klasma.github.io/Logging_1381/kartor_geotiff/S 1435-2022 georefererad karta.tif", "S 1435-2022")</f>
        <v/>
      </c>
      <c r="AA2">
        <f>HYPERLINK("https://klasma.github.io/Logging_1381/klagomål/S 1435-2022 FSC-klagomål.docx", "S 1435-2022")</f>
        <v/>
      </c>
      <c r="AB2">
        <f>HYPERLINK("https://klasma.github.io/Logging_1381/klagomålsmail/S 1435-2022 FSC-klagomål mail.docx", "S 1435-2022")</f>
        <v/>
      </c>
      <c r="AC2">
        <f>HYPERLINK("https://klasma.github.io/Logging_1381/tillsyn/S 1435-2022 tillsynsbegäran.docx", "S 1435-2022")</f>
        <v/>
      </c>
      <c r="AD2">
        <f>HYPERLINK("https://klasma.github.io/Logging_1381/tillsynsmail/S 1435-2022 tillsynsbegäran mail.docx", "S 1435-2022")</f>
        <v/>
      </c>
      <c r="AE2">
        <f>HYPERLINK("https://klasma.github.io/Logging_1381/fåglar/S 1435-2022 prioriterade fågelarter.docx", "S 1435-2022")</f>
        <v/>
      </c>
    </row>
    <row r="3" ht="15" customHeight="1">
      <c r="A3" t="inlineStr">
        <is>
          <t>S 1587-2026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46171</v>
      </c>
      <c r="E3" s="1" t="n">
        <v>46315</v>
      </c>
      <c r="F3" t="inlineStr">
        <is>
          <t>HALLANDS LÄN</t>
        </is>
      </c>
      <c r="G3" t="inlineStr">
        <is>
          <t>LAHOLM</t>
        </is>
      </c>
      <c r="I3" t="n">
        <v>9.300000000000001</v>
      </c>
      <c r="J3" t="n">
        <v>0</v>
      </c>
      <c r="K3" t="n">
        <v>10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14</v>
      </c>
      <c r="T3" t="n">
        <v>14</v>
      </c>
      <c r="U3" t="n">
        <v>0</v>
      </c>
      <c r="V3" s="2" t="inlineStr">
        <is>
          <t>Bokkantlav
Bokvårtlav
Liten lundlav
Violettgrå porlav
Blåsfliksmossa
Bokfjädermossa
Fällmossa
Havstulpanlav
Platt fjädermossa
Rikfruktig blemlav
Scytinium lichenoides s.lat.
Stor knopplav
Trädporella
Västlig husmossa</t>
        </is>
      </c>
      <c r="W3">
        <f>HYPERLINK("https://klasma.github.io/Logging_1381/artfynd/S 1587-2026 artfynd.xlsx", "S 1587-2026")</f>
        <v/>
      </c>
      <c r="X3">
        <f>HYPERLINK("https://klasma.github.io/Logging_1381/kartor/S 1587-2026 karta.png", "S 1587-2026")</f>
        <v/>
      </c>
      <c r="Y3">
        <f>HYPERLINK("https://klasma.github.io/Logging_1381/kartor_geotiff/S 1587-2026 georefererad karta.tif", "S 1587-2026")</f>
        <v/>
      </c>
      <c r="AA3">
        <f>HYPERLINK("https://klasma.github.io/Logging_1381/klagomål/S 1587-2026 FSC-klagomål.docx", "S 1587-2026")</f>
        <v/>
      </c>
      <c r="AB3">
        <f>HYPERLINK("https://klasma.github.io/Logging_1381/klagomålsmail/S 1587-2026 FSC-klagomål mail.docx", "S 1587-2026")</f>
        <v/>
      </c>
      <c r="AC3">
        <f>HYPERLINK("https://klasma.github.io/Logging_1381/tillsyn/S 1587-2026 tillsynsbegäran.docx", "S 1587-2026")</f>
        <v/>
      </c>
      <c r="AD3">
        <f>HYPERLINK("https://klasma.github.io/Logging_1381/tillsynsmail/S 1587-2026 tillsynsbegäran mail.docx", "S 1587-2026")</f>
        <v/>
      </c>
    </row>
    <row r="4" ht="15" customHeight="1">
      <c r="A4" t="inlineStr">
        <is>
          <t>S 1180-2026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46136</v>
      </c>
      <c r="E4" s="1" t="n">
        <v>46315</v>
      </c>
      <c r="F4" t="inlineStr">
        <is>
          <t>HALLANDS LÄN</t>
        </is>
      </c>
      <c r="G4" t="inlineStr">
        <is>
          <t>LAHOLM</t>
        </is>
      </c>
      <c r="I4" t="n">
        <v>7.8</v>
      </c>
      <c r="J4" t="n">
        <v>0</v>
      </c>
      <c r="K4" t="n">
        <v>11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12</v>
      </c>
      <c r="T4" t="n">
        <v>291</v>
      </c>
      <c r="U4" t="n">
        <v>0</v>
      </c>
      <c r="V4" s="2" t="inlineStr">
        <is>
          <t>Bokkantlav
Barkkornlav
Bokfjädermossa
Fällmossa
Guldlockmossa
Gulnål
Havstulpanlav
Mussellav
Mörk husmossa
Platt fjädermossa
Stor knopplav
Trädporella</t>
        </is>
      </c>
      <c r="W4">
        <f>HYPERLINK("https://klasma.github.io/Logging_1381/artfynd/S 1180-2026 artfynd.xlsx", "S 1180-2026")</f>
        <v/>
      </c>
      <c r="X4">
        <f>HYPERLINK("https://klasma.github.io/Logging_1381/kartor/S 1180-2026 karta.png", "S 1180-2026")</f>
        <v/>
      </c>
      <c r="Y4">
        <f>HYPERLINK("https://klasma.github.io/Logging_1381/kartor_geotiff/S 1180-2026 georefererad karta.tif", "S 1180-2026")</f>
        <v/>
      </c>
      <c r="AA4">
        <f>HYPERLINK("https://klasma.github.io/Logging_1381/klagomål/S 1180-2026 FSC-klagomål.docx", "S 1180-2026")</f>
        <v/>
      </c>
      <c r="AB4">
        <f>HYPERLINK("https://klasma.github.io/Logging_1381/klagomålsmail/S 1180-2026 FSC-klagomål mail.docx", "S 1180-2026")</f>
        <v/>
      </c>
      <c r="AC4">
        <f>HYPERLINK("https://klasma.github.io/Logging_1381/tillsyn/S 1180-2026 tillsynsbegäran.docx", "S 1180-2026")</f>
        <v/>
      </c>
      <c r="AD4">
        <f>HYPERLINK("https://klasma.github.io/Logging_1381/tillsynsmail/S 1180-2026 tillsynsbegäran mail.docx", "S 1180-2026")</f>
        <v/>
      </c>
    </row>
    <row r="5" ht="15" customHeight="1">
      <c r="A5" t="inlineStr">
        <is>
          <t>S 1825-2025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45819</v>
      </c>
      <c r="E5" s="1" t="n">
        <v>46315</v>
      </c>
      <c r="F5" t="inlineStr">
        <is>
          <t>HALLANDS LÄN</t>
        </is>
      </c>
      <c r="G5" t="inlineStr">
        <is>
          <t>LAHOLM</t>
        </is>
      </c>
      <c r="I5" t="n">
        <v>1.8</v>
      </c>
      <c r="J5" t="n">
        <v>0</v>
      </c>
      <c r="K5" t="n">
        <v>7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9</v>
      </c>
      <c r="T5" t="n">
        <v>26</v>
      </c>
      <c r="U5" t="n">
        <v>7</v>
      </c>
      <c r="V5" s="2" t="inlineStr">
        <is>
          <t>Pulverädellav
Smalskaftslav
Barkkornlav
Gulnål
Havstulpanlav
Lönnlav
Mussellav
Platt fjädermossa
Trubbfjädermossa</t>
        </is>
      </c>
      <c r="W5">
        <f>HYPERLINK("https://klasma.github.io/Logging_1381/artfynd/S 1825-2025 artfynd.xlsx", "S 1825-2025")</f>
        <v/>
      </c>
      <c r="X5">
        <f>HYPERLINK("https://klasma.github.io/Logging_1381/kartor/S 1825-2025 karta.png", "S 1825-2025")</f>
        <v/>
      </c>
      <c r="Y5">
        <f>HYPERLINK("https://klasma.github.io/Logging_1381/kartor_geotiff/S 1825-2025 georefererad karta.tif", "S 1825-2025")</f>
        <v/>
      </c>
      <c r="AA5">
        <f>HYPERLINK("https://klasma.github.io/Logging_1381/klagomål/S 1825-2025 FSC-klagomål.docx", "S 1825-2025")</f>
        <v/>
      </c>
      <c r="AB5">
        <f>HYPERLINK("https://klasma.github.io/Logging_1381/klagomålsmail/S 1825-2025 FSC-klagomål mail.docx", "S 1825-2025")</f>
        <v/>
      </c>
      <c r="AC5">
        <f>HYPERLINK("https://klasma.github.io/Logging_1381/tillsyn/S 1825-2025 tillsynsbegäran.docx", "S 1825-2025")</f>
        <v/>
      </c>
      <c r="AD5">
        <f>HYPERLINK("https://klasma.github.io/Logging_1381/tillsynsmail/S 1825-2025 tillsynsbegäran mail.docx", "S 1825-2025")</f>
        <v/>
      </c>
    </row>
    <row r="6" ht="15" customHeight="1">
      <c r="A6" t="inlineStr">
        <is>
          <t>A 15197-2024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45400</v>
      </c>
      <c r="E6" s="1" t="n">
        <v>46315</v>
      </c>
      <c r="F6" t="inlineStr">
        <is>
          <t>HALLANDS LÄN</t>
        </is>
      </c>
      <c r="G6" t="inlineStr">
        <is>
          <t>LAHOLM</t>
        </is>
      </c>
      <c r="I6" t="n">
        <v>15.1</v>
      </c>
      <c r="J6" t="n">
        <v>2</v>
      </c>
      <c r="K6" t="n">
        <v>3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6</v>
      </c>
      <c r="T6" t="n">
        <v>11</v>
      </c>
      <c r="U6" t="n">
        <v>3</v>
      </c>
      <c r="V6" s="2" t="inlineStr">
        <is>
          <t>Skirmossa
Vildris
Dvärghäxört
Grovticka
Guldlockmossa
Vanlig padda</t>
        </is>
      </c>
      <c r="W6">
        <f>HYPERLINK("https://klasma.github.io/Logging_1381/artfynd/A 15197-2024 artfynd.xlsx", "A 15197-2024")</f>
        <v/>
      </c>
      <c r="X6">
        <f>HYPERLINK("https://klasma.github.io/Logging_1381/kartor/A 15197-2024 karta.png", "A 15197-2024")</f>
        <v/>
      </c>
      <c r="Y6">
        <f>HYPERLINK("https://klasma.github.io/Logging_1381/kartor_geotiff/A 15197-2024 georefererad karta.tif", "A 15197-2024")</f>
        <v/>
      </c>
      <c r="AA6">
        <f>HYPERLINK("https://klasma.github.io/Logging_1381/klagomål/A 15197-2024 FSC-klagomål.docx", "A 15197-2024")</f>
        <v/>
      </c>
      <c r="AB6">
        <f>HYPERLINK("https://klasma.github.io/Logging_1381/klagomålsmail/A 15197-2024 FSC-klagomål mail.docx", "A 15197-2024")</f>
        <v/>
      </c>
      <c r="AC6">
        <f>HYPERLINK("https://klasma.github.io/Logging_1381/tillsyn/A 15197-2024 tillsynsbegäran.docx", "A 15197-2024")</f>
        <v/>
      </c>
      <c r="AD6">
        <f>HYPERLINK("https://klasma.github.io/Logging_1381/tillsynsmail/A 15197-2024 tillsynsbegäran mail.docx", "A 15197-2024")</f>
        <v/>
      </c>
    </row>
    <row r="7" ht="15" customHeight="1">
      <c r="A7" t="inlineStr">
        <is>
          <t>A 8912-2026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46069</v>
      </c>
      <c r="E7" s="1" t="n">
        <v>46315</v>
      </c>
      <c r="F7" t="inlineStr">
        <is>
          <t>HALLANDS LÄN</t>
        </is>
      </c>
      <c r="G7" t="inlineStr">
        <is>
          <t>LAHOLM</t>
        </is>
      </c>
      <c r="I7" t="n">
        <v>8.9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6</v>
      </c>
      <c r="T7" t="n">
        <v>6</v>
      </c>
      <c r="U7" t="n">
        <v>1</v>
      </c>
      <c r="V7" s="2" t="inlineStr">
        <is>
          <t>Bokkantlav
Bokvårtlav
Phellodon frondosoniger
Fällmossa
Kambräken
Platt fjädermossa</t>
        </is>
      </c>
      <c r="W7">
        <f>HYPERLINK("https://klasma.github.io/Logging_1381/artfynd/A 8912-2026 artfynd.xlsx", "A 8912-2026")</f>
        <v/>
      </c>
      <c r="X7">
        <f>HYPERLINK("https://klasma.github.io/Logging_1381/kartor/A 8912-2026 karta.png", "A 8912-2026")</f>
        <v/>
      </c>
      <c r="Y7">
        <f>HYPERLINK("https://klasma.github.io/Logging_1381/kartor_geotiff/A 8912-2026 georefererad karta.tif", "A 8912-2026")</f>
        <v/>
      </c>
      <c r="AA7">
        <f>HYPERLINK("https://klasma.github.io/Logging_1381/klagomål/A 8912-2026 FSC-klagomål.docx", "A 8912-2026")</f>
        <v/>
      </c>
      <c r="AB7">
        <f>HYPERLINK("https://klasma.github.io/Logging_1381/klagomålsmail/A 8912-2026 FSC-klagomål mail.docx", "A 8912-2026")</f>
        <v/>
      </c>
      <c r="AC7">
        <f>HYPERLINK("https://klasma.github.io/Logging_1381/tillsyn/A 8912-2026 tillsynsbegäran.docx", "A 8912-2026")</f>
        <v/>
      </c>
      <c r="AD7">
        <f>HYPERLINK("https://klasma.github.io/Logging_1381/tillsynsmail/A 8912-2026 tillsynsbegäran mail.docx", "A 8912-2026")</f>
        <v/>
      </c>
    </row>
    <row r="8" ht="15" customHeight="1">
      <c r="A8" t="inlineStr">
        <is>
          <t>A 7724-2023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44973</v>
      </c>
      <c r="E8" s="1" t="n">
        <v>46315</v>
      </c>
      <c r="F8" t="inlineStr">
        <is>
          <t>HALLANDS LÄN</t>
        </is>
      </c>
      <c r="G8" t="inlineStr">
        <is>
          <t>LAHOLM</t>
        </is>
      </c>
      <c r="I8" t="n">
        <v>4</v>
      </c>
      <c r="J8" t="n">
        <v>2</v>
      </c>
      <c r="K8" t="n">
        <v>0</v>
      </c>
      <c r="L8" t="n">
        <v>4</v>
      </c>
      <c r="M8" t="n">
        <v>0</v>
      </c>
      <c r="N8" t="n">
        <v>0</v>
      </c>
      <c r="O8" t="n">
        <v>1</v>
      </c>
      <c r="P8" t="n">
        <v>0</v>
      </c>
      <c r="Q8" t="n">
        <v>5</v>
      </c>
      <c r="R8" t="n">
        <v>1</v>
      </c>
      <c r="S8" t="n">
        <v>6</v>
      </c>
      <c r="T8" t="n">
        <v>7</v>
      </c>
      <c r="U8" t="n">
        <v>4</v>
      </c>
      <c r="V8" s="2" t="inlineStr">
        <is>
          <t>Ål
Lax
Lunglav
Mindre hackspett
Svinrot
Utter</t>
        </is>
      </c>
      <c r="W8">
        <f>HYPERLINK("https://klasma.github.io/Logging_1381/artfynd/A 7724-2023 artfynd.xlsx", "A 7724-2023")</f>
        <v/>
      </c>
      <c r="X8">
        <f>HYPERLINK("https://klasma.github.io/Logging_1381/kartor/A 7724-2023 karta.png", "A 7724-2023")</f>
        <v/>
      </c>
      <c r="Y8">
        <f>HYPERLINK("https://klasma.github.io/Logging_1381/kartor_geotiff/A 7724-2023 georefererad karta.tif", "A 7724-2023")</f>
        <v/>
      </c>
      <c r="AA8">
        <f>HYPERLINK("https://klasma.github.io/Logging_1381/klagomål/A 7724-2023 FSC-klagomål.docx", "A 7724-2023")</f>
        <v/>
      </c>
      <c r="AB8">
        <f>HYPERLINK("https://klasma.github.io/Logging_1381/klagomålsmail/A 7724-2023 FSC-klagomål mail.docx", "A 7724-2023")</f>
        <v/>
      </c>
      <c r="AC8">
        <f>HYPERLINK("https://klasma.github.io/Logging_1381/tillsyn/A 7724-2023 tillsynsbegäran.docx", "A 7724-2023")</f>
        <v/>
      </c>
      <c r="AD8">
        <f>HYPERLINK("https://klasma.github.io/Logging_1381/tillsynsmail/A 7724-2023 tillsynsbegäran mail.docx", "A 7724-2023")</f>
        <v/>
      </c>
      <c r="AE8">
        <f>HYPERLINK("https://klasma.github.io/Logging_1381/fåglar/A 7724-2023 prioriterade fågelarter.docx", "A 7724-2023")</f>
        <v/>
      </c>
    </row>
    <row r="9" ht="15" customHeight="1">
      <c r="A9" t="inlineStr">
        <is>
          <t>S 719-2026</t>
        </is>
      </c>
      <c r="B9" t="inlineStr">
        <is>
          <t>samrådsanmälan</t>
        </is>
      </c>
      <c r="C9" t="inlineStr">
        <is>
          <t>Askåterföring</t>
        </is>
      </c>
      <c r="D9" s="1" t="n">
        <v>46094</v>
      </c>
      <c r="E9" s="1" t="n">
        <v>46315</v>
      </c>
      <c r="F9" t="inlineStr">
        <is>
          <t>HALLANDS LÄN</t>
        </is>
      </c>
      <c r="G9" t="inlineStr">
        <is>
          <t>LAHOLM</t>
        </is>
      </c>
      <c r="I9" t="n">
        <v>61.8</v>
      </c>
      <c r="J9" t="n">
        <v>0</v>
      </c>
      <c r="K9" t="n">
        <v>4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6</v>
      </c>
      <c r="T9" t="n">
        <v>15</v>
      </c>
      <c r="U9" t="n">
        <v>0</v>
      </c>
      <c r="V9" s="2" t="inlineStr">
        <is>
          <t>Pulverädellav
Smalskaftslav
Barkkornlav
Gulnål
Havstulpanlav
Mussellav</t>
        </is>
      </c>
      <c r="W9">
        <f>HYPERLINK("https://klasma.github.io/Logging_1381/artfynd/S 719-2026 artfynd.xlsx", "S 719-2026")</f>
        <v/>
      </c>
      <c r="X9">
        <f>HYPERLINK("https://klasma.github.io/Logging_1381/kartor/S 719-2026 karta.png", "S 719-2026")</f>
        <v/>
      </c>
      <c r="Y9">
        <f>HYPERLINK("https://klasma.github.io/Logging_1381/kartor_geotiff/S 719-2026 georefererad karta.tif", "S 719-2026")</f>
        <v/>
      </c>
      <c r="AA9">
        <f>HYPERLINK("https://klasma.github.io/Logging_1381/klagomål/S 719-2026 FSC-klagomål.docx", "S 719-2026")</f>
        <v/>
      </c>
      <c r="AB9">
        <f>HYPERLINK("https://klasma.github.io/Logging_1381/klagomålsmail/S 719-2026 FSC-klagomål mail.docx", "S 719-2026")</f>
        <v/>
      </c>
      <c r="AC9">
        <f>HYPERLINK("https://klasma.github.io/Logging_1381/tillsyn/S 719-2026 tillsynsbegäran.docx", "S 719-2026")</f>
        <v/>
      </c>
      <c r="AD9">
        <f>HYPERLINK("https://klasma.github.io/Logging_1381/tillsynsmail/S 719-2026 tillsynsbegäran mail.docx", "S 719-2026")</f>
        <v/>
      </c>
    </row>
    <row r="10" ht="15" customHeight="1">
      <c r="A10" t="inlineStr">
        <is>
          <t>A 53584-2022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44879</v>
      </c>
      <c r="E10" s="1" t="n">
        <v>46315</v>
      </c>
      <c r="F10" t="inlineStr">
        <is>
          <t>HALLANDS LÄN</t>
        </is>
      </c>
      <c r="G10" t="inlineStr">
        <is>
          <t>LAHOLM</t>
        </is>
      </c>
      <c r="I10" t="n">
        <v>1.4</v>
      </c>
      <c r="J10" t="n">
        <v>4</v>
      </c>
      <c r="K10" t="n">
        <v>0</v>
      </c>
      <c r="L10" t="n">
        <v>0</v>
      </c>
      <c r="M10" t="n">
        <v>1</v>
      </c>
      <c r="N10" t="n">
        <v>2</v>
      </c>
      <c r="O10" t="n">
        <v>0</v>
      </c>
      <c r="P10" t="n">
        <v>0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s="2" t="inlineStr">
        <is>
          <t>Hornuggla
Pärluggla
Berguv
Spillkråka</t>
        </is>
      </c>
      <c r="W10">
        <f>HYPERLINK("https://klasma.github.io/Logging_1381/artfynd/A 53584-2022 artfynd.xlsx", "A 53584-2022")</f>
        <v/>
      </c>
      <c r="X10">
        <f>HYPERLINK("https://klasma.github.io/Logging_1381/kartor/A 53584-2022 karta.png", "A 53584-2022")</f>
        <v/>
      </c>
      <c r="Y10">
        <f>HYPERLINK("https://klasma.github.io/Logging_1381/kartor_geotiff/A 53584-2022 georefererad karta.tif", "A 53584-2022")</f>
        <v/>
      </c>
      <c r="AA10">
        <f>HYPERLINK("https://klasma.github.io/Logging_1381/klagomål/A 53584-2022 FSC-klagomål.docx", "A 53584-2022")</f>
        <v/>
      </c>
      <c r="AB10">
        <f>HYPERLINK("https://klasma.github.io/Logging_1381/klagomålsmail/A 53584-2022 FSC-klagomål mail.docx", "A 53584-2022")</f>
        <v/>
      </c>
      <c r="AC10">
        <f>HYPERLINK("https://klasma.github.io/Logging_1381/tillsyn/A 53584-2022 tillsynsbegäran.docx", "A 53584-2022")</f>
        <v/>
      </c>
      <c r="AD10">
        <f>HYPERLINK("https://klasma.github.io/Logging_1381/tillsynsmail/A 53584-2022 tillsynsbegäran mail.docx", "A 53584-2022")</f>
        <v/>
      </c>
      <c r="AE10">
        <f>HYPERLINK("https://klasma.github.io/Logging_1381/fåglar/A 53584-2022 prioriterade fågelarter.docx", "A 53584-2022")</f>
        <v/>
      </c>
    </row>
    <row r="11" ht="15" customHeight="1">
      <c r="A11" t="inlineStr">
        <is>
          <t>A 29621-2025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45825</v>
      </c>
      <c r="E11" s="1" t="n">
        <v>46315</v>
      </c>
      <c r="F11" t="inlineStr">
        <is>
          <t>HALLANDS LÄN</t>
        </is>
      </c>
      <c r="G11" t="inlineStr">
        <is>
          <t>LAHOLM</t>
        </is>
      </c>
      <c r="I11" t="n">
        <v>20.1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4</v>
      </c>
      <c r="T11" t="n">
        <v>4</v>
      </c>
      <c r="U11" t="n">
        <v>0</v>
      </c>
      <c r="V11" s="2" t="inlineStr">
        <is>
          <t>Bokkantlav
Bokvårtlav
Fällmossa
Platt fjädermossa</t>
        </is>
      </c>
      <c r="W11">
        <f>HYPERLINK("https://klasma.github.io/Logging_1381/artfynd/A 29621-2025 artfynd.xlsx", "A 29621-2025")</f>
        <v/>
      </c>
      <c r="X11">
        <f>HYPERLINK("https://klasma.github.io/Logging_1381/kartor/A 29621-2025 karta.png", "A 29621-2025")</f>
        <v/>
      </c>
      <c r="Y11">
        <f>HYPERLINK("https://klasma.github.io/Logging_1381/kartor_geotiff/A 29621-2025 georefererad karta.tif", "A 29621-2025")</f>
        <v/>
      </c>
      <c r="AA11">
        <f>HYPERLINK("https://klasma.github.io/Logging_1381/klagomål/A 29621-2025 FSC-klagomål.docx", "A 29621-2025")</f>
        <v/>
      </c>
      <c r="AB11">
        <f>HYPERLINK("https://klasma.github.io/Logging_1381/klagomålsmail/A 29621-2025 FSC-klagomål mail.docx", "A 29621-2025")</f>
        <v/>
      </c>
      <c r="AC11">
        <f>HYPERLINK("https://klasma.github.io/Logging_1381/tillsyn/A 29621-2025 tillsynsbegäran.docx", "A 29621-2025")</f>
        <v/>
      </c>
      <c r="AD11">
        <f>HYPERLINK("https://klasma.github.io/Logging_1381/tillsynsmail/A 29621-2025 tillsynsbegäran mail.docx", "A 29621-2025")</f>
        <v/>
      </c>
    </row>
    <row r="12" ht="15" customHeight="1">
      <c r="A12" t="inlineStr">
        <is>
          <t>S 648-2024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45356</v>
      </c>
      <c r="E12" s="1" t="n">
        <v>46315</v>
      </c>
      <c r="F12" t="inlineStr">
        <is>
          <t>HALLANDS LÄN</t>
        </is>
      </c>
      <c r="G12" t="inlineStr">
        <is>
          <t>LAHOLM</t>
        </is>
      </c>
      <c r="H12" t="inlineStr">
        <is>
          <t>Kommuner</t>
        </is>
      </c>
      <c r="I12" t="n">
        <v>190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0</v>
      </c>
      <c r="P12" t="n">
        <v>0</v>
      </c>
      <c r="Q12" t="n">
        <v>3</v>
      </c>
      <c r="R12" t="n">
        <v>1</v>
      </c>
      <c r="S12" t="n">
        <v>3</v>
      </c>
      <c r="T12" t="n">
        <v>12</v>
      </c>
      <c r="U12" t="n">
        <v>5</v>
      </c>
      <c r="V12" s="2" t="inlineStr">
        <is>
          <t>Ljungögontröst
Hårginst
Svartvit taggsvamp</t>
        </is>
      </c>
      <c r="W12">
        <f>HYPERLINK("https://klasma.github.io/Logging_1381/artfynd/S 648-2024 artfynd.xlsx", "S 648-2024")</f>
        <v/>
      </c>
      <c r="X12">
        <f>HYPERLINK("https://klasma.github.io/Logging_1381/kartor/S 648-2024 karta.png", "S 648-2024")</f>
        <v/>
      </c>
      <c r="Y12">
        <f>HYPERLINK("https://klasma.github.io/Logging_1381/kartor_geotiff/S 648-2024 georefererad karta.tif", "S 648-2024")</f>
        <v/>
      </c>
      <c r="AA12">
        <f>HYPERLINK("https://klasma.github.io/Logging_1381/klagomål/S 648-2024 FSC-klagomål.docx", "S 648-2024")</f>
        <v/>
      </c>
      <c r="AB12">
        <f>HYPERLINK("https://klasma.github.io/Logging_1381/klagomålsmail/S 648-2024 FSC-klagomål mail.docx", "S 648-2024")</f>
        <v/>
      </c>
      <c r="AC12">
        <f>HYPERLINK("https://klasma.github.io/Logging_1381/tillsyn/S 648-2024 tillsynsbegäran.docx", "S 648-2024")</f>
        <v/>
      </c>
      <c r="AD12">
        <f>HYPERLINK("https://klasma.github.io/Logging_1381/tillsynsmail/S 648-2024 tillsynsbegäran mail.docx", "S 648-2024")</f>
        <v/>
      </c>
    </row>
    <row r="13" ht="15" customHeight="1">
      <c r="A13" t="inlineStr">
        <is>
          <t>S 890-2025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45735</v>
      </c>
      <c r="E13" s="1" t="n">
        <v>46315</v>
      </c>
      <c r="F13" t="inlineStr">
        <is>
          <t>HALLANDS LÄN</t>
        </is>
      </c>
      <c r="G13" t="inlineStr">
        <is>
          <t>LAHOLM</t>
        </is>
      </c>
      <c r="I13" t="n">
        <v>26.8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3</v>
      </c>
      <c r="U13" t="n">
        <v>0</v>
      </c>
      <c r="V13" s="2" t="inlineStr">
        <is>
          <t>Fällmossa
Guldlockmossa
Safsa</t>
        </is>
      </c>
      <c r="W13">
        <f>HYPERLINK("https://klasma.github.io/Logging_1381/artfynd/S 890-2025 artfynd.xlsx", "S 890-2025")</f>
        <v/>
      </c>
      <c r="X13">
        <f>HYPERLINK("https://klasma.github.io/Logging_1381/kartor/S 890-2025 karta.png", "S 890-2025")</f>
        <v/>
      </c>
      <c r="Y13">
        <f>HYPERLINK("https://klasma.github.io/Logging_1381/kartor_geotiff/S 890-2025 georefererad karta.tif", "S 890-2025")</f>
        <v/>
      </c>
      <c r="AA13">
        <f>HYPERLINK("https://klasma.github.io/Logging_1381/klagomål/S 890-2025 FSC-klagomål.docx", "S 890-2025")</f>
        <v/>
      </c>
      <c r="AB13">
        <f>HYPERLINK("https://klasma.github.io/Logging_1381/klagomålsmail/S 890-2025 FSC-klagomål mail.docx", "S 890-2025")</f>
        <v/>
      </c>
      <c r="AC13">
        <f>HYPERLINK("https://klasma.github.io/Logging_1381/tillsyn/S 890-2025 tillsynsbegäran.docx", "S 890-2025")</f>
        <v/>
      </c>
      <c r="AD13">
        <f>HYPERLINK("https://klasma.github.io/Logging_1381/tillsynsmail/S 890-2025 tillsynsbegäran mail.docx", "S 890-2025")</f>
        <v/>
      </c>
    </row>
    <row r="14" ht="15" customHeight="1">
      <c r="A14" t="inlineStr">
        <is>
          <t>A 45733-2022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44846</v>
      </c>
      <c r="E14" s="1" t="n">
        <v>46315</v>
      </c>
      <c r="F14" t="inlineStr">
        <is>
          <t>HALLANDS LÄN</t>
        </is>
      </c>
      <c r="G14" t="inlineStr">
        <is>
          <t>LAHOLM</t>
        </is>
      </c>
      <c r="I14" t="n">
        <v>0.9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Bokvårtlav
Platt fjädermossa</t>
        </is>
      </c>
      <c r="W14">
        <f>HYPERLINK("https://klasma.github.io/Logging_1381/artfynd/A 45733-2022 artfynd.xlsx", "A 45733-2022")</f>
        <v/>
      </c>
      <c r="X14">
        <f>HYPERLINK("https://klasma.github.io/Logging_1381/kartor/A 45733-2022 karta.png", "A 45733-2022")</f>
        <v/>
      </c>
      <c r="Y14">
        <f>HYPERLINK("https://klasma.github.io/Logging_1381/kartor_geotiff/A 45733-2022 georefererad karta.tif", "A 45733-2022")</f>
        <v/>
      </c>
      <c r="AA14">
        <f>HYPERLINK("https://klasma.github.io/Logging_1381/klagomål/A 45733-2022 FSC-klagomål.docx", "A 45733-2022")</f>
        <v/>
      </c>
      <c r="AB14">
        <f>HYPERLINK("https://klasma.github.io/Logging_1381/klagomålsmail/A 45733-2022 FSC-klagomål mail.docx", "A 45733-2022")</f>
        <v/>
      </c>
      <c r="AC14">
        <f>HYPERLINK("https://klasma.github.io/Logging_1381/tillsyn/A 45733-2022 tillsynsbegäran.docx", "A 45733-2022")</f>
        <v/>
      </c>
      <c r="AD14">
        <f>HYPERLINK("https://klasma.github.io/Logging_1381/tillsynsmail/A 45733-2022 tillsynsbegäran mail.docx", "A 45733-2022")</f>
        <v/>
      </c>
    </row>
    <row r="15" ht="15" customHeight="1">
      <c r="A15" t="inlineStr">
        <is>
          <t>A 61519-2023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45265</v>
      </c>
      <c r="E15" s="1" t="n">
        <v>46315</v>
      </c>
      <c r="F15" t="inlineStr">
        <is>
          <t>HALLANDS LÄN</t>
        </is>
      </c>
      <c r="G15" t="inlineStr">
        <is>
          <t>LAHOLM</t>
        </is>
      </c>
      <c r="H15" t="inlineStr">
        <is>
          <t>Sveaskog</t>
        </is>
      </c>
      <c r="I15" t="n">
        <v>15.9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Spillkråka
Kungsfågel</t>
        </is>
      </c>
      <c r="W15">
        <f>HYPERLINK("https://klasma.github.io/Logging_1381/artfynd/A 61519-2023 artfynd.xlsx", "A 61519-2023")</f>
        <v/>
      </c>
      <c r="X15">
        <f>HYPERLINK("https://klasma.github.io/Logging_1381/kartor/A 61519-2023 karta.png", "A 61519-2023")</f>
        <v/>
      </c>
      <c r="Y15">
        <f>HYPERLINK("https://klasma.github.io/Logging_1381/kartor_geotiff/A 61519-2023 georefererad karta.tif", "A 61519-2023")</f>
        <v/>
      </c>
      <c r="AA15">
        <f>HYPERLINK("https://klasma.github.io/Logging_1381/klagomål/A 61519-2023 FSC-klagomål.docx", "A 61519-2023")</f>
        <v/>
      </c>
      <c r="AB15">
        <f>HYPERLINK("https://klasma.github.io/Logging_1381/klagomålsmail/A 61519-2023 FSC-klagomål mail.docx", "A 61519-2023")</f>
        <v/>
      </c>
      <c r="AC15">
        <f>HYPERLINK("https://klasma.github.io/Logging_1381/tillsyn/A 61519-2023 tillsynsbegäran.docx", "A 61519-2023")</f>
        <v/>
      </c>
      <c r="AD15">
        <f>HYPERLINK("https://klasma.github.io/Logging_1381/tillsynsmail/A 61519-2023 tillsynsbegäran mail.docx", "A 61519-2023")</f>
        <v/>
      </c>
      <c r="AE15">
        <f>HYPERLINK("https://klasma.github.io/Logging_1381/fåglar/A 61519-2023 prioriterade fågelarter.docx", "A 61519-2023")</f>
        <v/>
      </c>
    </row>
    <row r="16" ht="15" customHeight="1">
      <c r="A16" t="inlineStr">
        <is>
          <t>A 2784-2026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46038</v>
      </c>
      <c r="E16" s="1" t="n">
        <v>46315</v>
      </c>
      <c r="F16" t="inlineStr">
        <is>
          <t>HALLANDS LÄN</t>
        </is>
      </c>
      <c r="G16" t="inlineStr">
        <is>
          <t>LAHOLM</t>
        </is>
      </c>
      <c r="I16" t="n">
        <v>4.1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6</v>
      </c>
      <c r="U16" t="n">
        <v>0</v>
      </c>
      <c r="V16" s="2" t="inlineStr">
        <is>
          <t>Slåttergubbe
Nattviol</t>
        </is>
      </c>
      <c r="W16">
        <f>HYPERLINK("https://klasma.github.io/Logging_1381/artfynd/A 2784-2026 artfynd.xlsx", "A 2784-2026")</f>
        <v/>
      </c>
      <c r="X16">
        <f>HYPERLINK("https://klasma.github.io/Logging_1381/kartor/A 2784-2026 karta.png", "A 2784-2026")</f>
        <v/>
      </c>
      <c r="Y16">
        <f>HYPERLINK("https://klasma.github.io/Logging_1381/kartor_geotiff/A 2784-2026 georefererad karta.tif", "A 2784-2026")</f>
        <v/>
      </c>
      <c r="AA16">
        <f>HYPERLINK("https://klasma.github.io/Logging_1381/klagomål/A 2784-2026 FSC-klagomål.docx", "A 2784-2026")</f>
        <v/>
      </c>
      <c r="AB16">
        <f>HYPERLINK("https://klasma.github.io/Logging_1381/klagomålsmail/A 2784-2026 FSC-klagomål mail.docx", "A 2784-2026")</f>
        <v/>
      </c>
      <c r="AC16">
        <f>HYPERLINK("https://klasma.github.io/Logging_1381/tillsyn/A 2784-2026 tillsynsbegäran.docx", "A 2784-2026")</f>
        <v/>
      </c>
      <c r="AD16">
        <f>HYPERLINK("https://klasma.github.io/Logging_1381/tillsynsmail/A 2784-2026 tillsynsbegäran mail.docx", "A 2784-2026")</f>
        <v/>
      </c>
    </row>
    <row r="17" ht="15" customHeight="1">
      <c r="A17" t="inlineStr">
        <is>
          <t>A 2767-2026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46038</v>
      </c>
      <c r="E17" s="1" t="n">
        <v>46315</v>
      </c>
      <c r="F17" t="inlineStr">
        <is>
          <t>HALLANDS LÄN</t>
        </is>
      </c>
      <c r="G17" t="inlineStr">
        <is>
          <t>LAHOLM</t>
        </is>
      </c>
      <c r="I17" t="n">
        <v>3.3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2</v>
      </c>
      <c r="T17" t="n">
        <v>7</v>
      </c>
      <c r="U17" t="n">
        <v>0</v>
      </c>
      <c r="V17" s="2" t="inlineStr">
        <is>
          <t>Slåttergubbe
Svarttandad maskros</t>
        </is>
      </c>
      <c r="W17">
        <f>HYPERLINK("https://klasma.github.io/Logging_1381/artfynd/A 2767-2026 artfynd.xlsx", "A 2767-2026")</f>
        <v/>
      </c>
      <c r="X17">
        <f>HYPERLINK("https://klasma.github.io/Logging_1381/kartor/A 2767-2026 karta.png", "A 2767-2026")</f>
        <v/>
      </c>
      <c r="Y17">
        <f>HYPERLINK("https://klasma.github.io/Logging_1381/kartor_geotiff/A 2767-2026 georefererad karta.tif", "A 2767-2026")</f>
        <v/>
      </c>
      <c r="AA17">
        <f>HYPERLINK("https://klasma.github.io/Logging_1381/klagomål/A 2767-2026 FSC-klagomål.docx", "A 2767-2026")</f>
        <v/>
      </c>
      <c r="AB17">
        <f>HYPERLINK("https://klasma.github.io/Logging_1381/klagomålsmail/A 2767-2026 FSC-klagomål mail.docx", "A 2767-2026")</f>
        <v/>
      </c>
      <c r="AC17">
        <f>HYPERLINK("https://klasma.github.io/Logging_1381/tillsyn/A 2767-2026 tillsynsbegäran.docx", "A 2767-2026")</f>
        <v/>
      </c>
      <c r="AD17">
        <f>HYPERLINK("https://klasma.github.io/Logging_1381/tillsynsmail/A 2767-2026 tillsynsbegäran mail.docx", "A 2767-2026")</f>
        <v/>
      </c>
    </row>
    <row r="18" ht="15" customHeight="1">
      <c r="A18" t="inlineStr">
        <is>
          <t>A 19387-2026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46133</v>
      </c>
      <c r="E18" s="1" t="n">
        <v>46315</v>
      </c>
      <c r="F18" t="inlineStr">
        <is>
          <t>HALLANDS LÄN</t>
        </is>
      </c>
      <c r="G18" t="inlineStr">
        <is>
          <t>LAHOLM</t>
        </is>
      </c>
      <c r="H18" t="inlineStr">
        <is>
          <t>Sveaskog</t>
        </is>
      </c>
      <c r="I18" t="n">
        <v>1.7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Skirmossa
Safsa</t>
        </is>
      </c>
      <c r="W18">
        <f>HYPERLINK("https://klasma.github.io/Logging_1381/artfynd/A 19387-2026 artfynd.xlsx", "A 19387-2026")</f>
        <v/>
      </c>
      <c r="X18">
        <f>HYPERLINK("https://klasma.github.io/Logging_1381/kartor/A 19387-2026 karta.png", "A 19387-2026")</f>
        <v/>
      </c>
      <c r="Y18">
        <f>HYPERLINK("https://klasma.github.io/Logging_1381/kartor_geotiff/A 19387-2026 georefererad karta.tif", "A 19387-2026")</f>
        <v/>
      </c>
      <c r="AA18">
        <f>HYPERLINK("https://klasma.github.io/Logging_1381/klagomål/A 19387-2026 FSC-klagomål.docx", "A 19387-2026")</f>
        <v/>
      </c>
      <c r="AB18">
        <f>HYPERLINK("https://klasma.github.io/Logging_1381/klagomålsmail/A 19387-2026 FSC-klagomål mail.docx", "A 19387-2026")</f>
        <v/>
      </c>
      <c r="AC18">
        <f>HYPERLINK("https://klasma.github.io/Logging_1381/tillsyn/A 19387-2026 tillsynsbegäran.docx", "A 19387-2026")</f>
        <v/>
      </c>
      <c r="AD18">
        <f>HYPERLINK("https://klasma.github.io/Logging_1381/tillsynsmail/A 19387-2026 tillsynsbegäran mail.docx", "A 19387-2026")</f>
        <v/>
      </c>
    </row>
    <row r="19" ht="15" customHeight="1">
      <c r="A19" t="inlineStr">
        <is>
          <t>A 19811-2026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46135</v>
      </c>
      <c r="E19" s="1" t="n">
        <v>46315</v>
      </c>
      <c r="F19" t="inlineStr">
        <is>
          <t>HALLANDS LÄN</t>
        </is>
      </c>
      <c r="G19" t="inlineStr">
        <is>
          <t>LAHOLM</t>
        </is>
      </c>
      <c r="I19" t="n">
        <v>3.6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Fällmossa
Guldlockmossa</t>
        </is>
      </c>
      <c r="W19">
        <f>HYPERLINK("https://klasma.github.io/Logging_1381/artfynd/A 19811-2026 artfynd.xlsx", "A 19811-2026")</f>
        <v/>
      </c>
      <c r="X19">
        <f>HYPERLINK("https://klasma.github.io/Logging_1381/kartor/A 19811-2026 karta.png", "A 19811-2026")</f>
        <v/>
      </c>
      <c r="Y19">
        <f>HYPERLINK("https://klasma.github.io/Logging_1381/kartor_geotiff/A 19811-2026 georefererad karta.tif", "A 19811-2026")</f>
        <v/>
      </c>
      <c r="AA19">
        <f>HYPERLINK("https://klasma.github.io/Logging_1381/klagomål/A 19811-2026 FSC-klagomål.docx", "A 19811-2026")</f>
        <v/>
      </c>
      <c r="AB19">
        <f>HYPERLINK("https://klasma.github.io/Logging_1381/klagomålsmail/A 19811-2026 FSC-klagomål mail.docx", "A 19811-2026")</f>
        <v/>
      </c>
      <c r="AC19">
        <f>HYPERLINK("https://klasma.github.io/Logging_1381/tillsyn/A 19811-2026 tillsynsbegäran.docx", "A 19811-2026")</f>
        <v/>
      </c>
      <c r="AD19">
        <f>HYPERLINK("https://klasma.github.io/Logging_1381/tillsynsmail/A 19811-2026 tillsynsbegäran mail.docx", "A 19811-2026")</f>
        <v/>
      </c>
    </row>
    <row r="20" ht="15" customHeight="1">
      <c r="A20" t="inlineStr">
        <is>
          <t>A 31507-2025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45832</v>
      </c>
      <c r="E20" s="1" t="n">
        <v>46315</v>
      </c>
      <c r="F20" t="inlineStr">
        <is>
          <t>HALLANDS LÄN</t>
        </is>
      </c>
      <c r="G20" t="inlineStr">
        <is>
          <t>LAHOLM</t>
        </is>
      </c>
      <c r="I20" t="n">
        <v>3.3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0</v>
      </c>
      <c r="V20" s="2" t="inlineStr">
        <is>
          <t>Kambräken
Lopplummer (aggregat)</t>
        </is>
      </c>
      <c r="W20">
        <f>HYPERLINK("https://klasma.github.io/Logging_1381/artfynd/A 31507-2025 artfynd.xlsx", "A 31507-2025")</f>
        <v/>
      </c>
      <c r="X20">
        <f>HYPERLINK("https://klasma.github.io/Logging_1381/kartor/A 31507-2025 karta.png", "A 31507-2025")</f>
        <v/>
      </c>
      <c r="Y20">
        <f>HYPERLINK("https://klasma.github.io/Logging_1381/kartor_geotiff/A 31507-2025 georefererad karta.tif", "A 31507-2025")</f>
        <v/>
      </c>
      <c r="AA20">
        <f>HYPERLINK("https://klasma.github.io/Logging_1381/klagomål/A 31507-2025 FSC-klagomål.docx", "A 31507-2025")</f>
        <v/>
      </c>
      <c r="AB20">
        <f>HYPERLINK("https://klasma.github.io/Logging_1381/klagomålsmail/A 31507-2025 FSC-klagomål mail.docx", "A 31507-2025")</f>
        <v/>
      </c>
      <c r="AC20">
        <f>HYPERLINK("https://klasma.github.io/Logging_1381/tillsyn/A 31507-2025 tillsynsbegäran.docx", "A 31507-2025")</f>
        <v/>
      </c>
      <c r="AD20">
        <f>HYPERLINK("https://klasma.github.io/Logging_1381/tillsynsmail/A 31507-2025 tillsynsbegäran mail.docx", "A 31507-2025")</f>
        <v/>
      </c>
    </row>
    <row r="21" ht="15" customHeight="1">
      <c r="A21" t="inlineStr">
        <is>
          <t>S 1924-2025</t>
        </is>
      </c>
      <c r="B21" t="inlineStr">
        <is>
          <t>samrådsanmälan</t>
        </is>
      </c>
      <c r="C21" t="inlineStr">
        <is>
          <t>Annan skogsbruksåtgärd</t>
        </is>
      </c>
      <c r="D21" s="1" t="n">
        <v>45827</v>
      </c>
      <c r="E21" s="1" t="n">
        <v>46315</v>
      </c>
      <c r="F21" t="inlineStr">
        <is>
          <t>HALLANDS LÄN</t>
        </is>
      </c>
      <c r="G21" t="inlineStr">
        <is>
          <t>LAHOLM</t>
        </is>
      </c>
      <c r="I21" t="n">
        <v>11.1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Havstulpanlav
Stor knopplav</t>
        </is>
      </c>
      <c r="W21">
        <f>HYPERLINK("https://klasma.github.io/Logging_1381/artfynd/S 1924-2025 artfynd.xlsx", "S 1924-2025")</f>
        <v/>
      </c>
      <c r="X21">
        <f>HYPERLINK("https://klasma.github.io/Logging_1381/kartor/S 1924-2025 karta.png", "S 1924-2025")</f>
        <v/>
      </c>
      <c r="Y21">
        <f>HYPERLINK("https://klasma.github.io/Logging_1381/kartor_geotiff/S 1924-2025 georefererad karta.tif", "S 1924-2025")</f>
        <v/>
      </c>
      <c r="AA21">
        <f>HYPERLINK("https://klasma.github.io/Logging_1381/klagomål/S 1924-2025 FSC-klagomål.docx", "S 1924-2025")</f>
        <v/>
      </c>
      <c r="AB21">
        <f>HYPERLINK("https://klasma.github.io/Logging_1381/klagomålsmail/S 1924-2025 FSC-klagomål mail.docx", "S 1924-2025")</f>
        <v/>
      </c>
      <c r="AC21">
        <f>HYPERLINK("https://klasma.github.io/Logging_1381/tillsyn/S 1924-2025 tillsynsbegäran.docx", "S 1924-2025")</f>
        <v/>
      </c>
      <c r="AD21">
        <f>HYPERLINK("https://klasma.github.io/Logging_1381/tillsynsmail/S 1924-2025 tillsynsbegäran mail.docx", "S 1924-2025")</f>
        <v/>
      </c>
    </row>
    <row r="22" ht="15" customHeight="1">
      <c r="A22" t="inlineStr">
        <is>
          <t>A 26240-2022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44735</v>
      </c>
      <c r="E22" s="1" t="n">
        <v>46315</v>
      </c>
      <c r="F22" t="inlineStr">
        <is>
          <t>HALLANDS LÄN</t>
        </is>
      </c>
      <c r="G22" t="inlineStr">
        <is>
          <t>LAHOLM</t>
        </is>
      </c>
      <c r="I22" t="n">
        <v>2.7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Tibast</t>
        </is>
      </c>
      <c r="W22">
        <f>HYPERLINK("https://klasma.github.io/Logging_1381/artfynd/A 26240-2022 artfynd.xlsx", "A 26240-2022")</f>
        <v/>
      </c>
      <c r="X22">
        <f>HYPERLINK("https://klasma.github.io/Logging_1381/kartor/A 26240-2022 karta.png", "A 26240-2022")</f>
        <v/>
      </c>
      <c r="Y22">
        <f>HYPERLINK("https://klasma.github.io/Logging_1381/kartor_geotiff/A 26240-2022 georefererad karta.tif", "A 26240-2022")</f>
        <v/>
      </c>
      <c r="AA22">
        <f>HYPERLINK("https://klasma.github.io/Logging_1381/klagomål/A 26240-2022 FSC-klagomål.docx", "A 26240-2022")</f>
        <v/>
      </c>
      <c r="AB22">
        <f>HYPERLINK("https://klasma.github.io/Logging_1381/klagomålsmail/A 26240-2022 FSC-klagomål mail.docx", "A 26240-2022")</f>
        <v/>
      </c>
      <c r="AC22">
        <f>HYPERLINK("https://klasma.github.io/Logging_1381/tillsyn/A 26240-2022 tillsynsbegäran.docx", "A 26240-2022")</f>
        <v/>
      </c>
      <c r="AD22">
        <f>HYPERLINK("https://klasma.github.io/Logging_1381/tillsynsmail/A 26240-2022 tillsynsbegäran mail.docx", "A 26240-2022")</f>
        <v/>
      </c>
    </row>
    <row r="23" ht="15" customHeight="1">
      <c r="A23" t="inlineStr">
        <is>
          <t>A 42421-2022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44831</v>
      </c>
      <c r="E23" s="1" t="n">
        <v>46315</v>
      </c>
      <c r="F23" t="inlineStr">
        <is>
          <t>HALLANDS LÄN</t>
        </is>
      </c>
      <c r="G23" t="inlineStr">
        <is>
          <t>LAHOLM</t>
        </is>
      </c>
      <c r="I23" t="n">
        <v>1.8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Småvänderot</t>
        </is>
      </c>
      <c r="W23">
        <f>HYPERLINK("https://klasma.github.io/Logging_1381/artfynd/A 42421-2022 artfynd.xlsx", "A 42421-2022")</f>
        <v/>
      </c>
      <c r="X23">
        <f>HYPERLINK("https://klasma.github.io/Logging_1381/kartor/A 42421-2022 karta.png", "A 42421-2022")</f>
        <v/>
      </c>
      <c r="Y23">
        <f>HYPERLINK("https://klasma.github.io/Logging_1381/kartor_geotiff/A 42421-2022 georefererad karta.tif", "A 42421-2022")</f>
        <v/>
      </c>
      <c r="AA23">
        <f>HYPERLINK("https://klasma.github.io/Logging_1381/klagomål/A 42421-2022 FSC-klagomål.docx", "A 42421-2022")</f>
        <v/>
      </c>
      <c r="AB23">
        <f>HYPERLINK("https://klasma.github.io/Logging_1381/klagomålsmail/A 42421-2022 FSC-klagomål mail.docx", "A 42421-2022")</f>
        <v/>
      </c>
      <c r="AC23">
        <f>HYPERLINK("https://klasma.github.io/Logging_1381/tillsyn/A 42421-2022 tillsynsbegäran.docx", "A 42421-2022")</f>
        <v/>
      </c>
      <c r="AD23">
        <f>HYPERLINK("https://klasma.github.io/Logging_1381/tillsynsmail/A 42421-2022 tillsynsbegäran mail.docx", "A 42421-2022")</f>
        <v/>
      </c>
    </row>
    <row r="24" ht="15" customHeight="1">
      <c r="A24" t="inlineStr">
        <is>
          <t>A 263-2023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44928</v>
      </c>
      <c r="E24" s="1" t="n">
        <v>46315</v>
      </c>
      <c r="F24" t="inlineStr">
        <is>
          <t>HALLANDS LÄN</t>
        </is>
      </c>
      <c r="G24" t="inlineStr">
        <is>
          <t>LAHOLM</t>
        </is>
      </c>
      <c r="H24" t="inlineStr">
        <is>
          <t>Kommuner</t>
        </is>
      </c>
      <c r="I24" t="n">
        <v>12.2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Ljungögontröst</t>
        </is>
      </c>
      <c r="W24">
        <f>HYPERLINK("https://klasma.github.io/Logging_1381/artfynd/A 263-2023 artfynd.xlsx", "A 263-2023")</f>
        <v/>
      </c>
      <c r="X24">
        <f>HYPERLINK("https://klasma.github.io/Logging_1381/kartor/A 263-2023 karta.png", "A 263-2023")</f>
        <v/>
      </c>
      <c r="Y24">
        <f>HYPERLINK("https://klasma.github.io/Logging_1381/kartor_geotiff/A 263-2023 georefererad karta.tif", "A 263-2023")</f>
        <v/>
      </c>
      <c r="AA24">
        <f>HYPERLINK("https://klasma.github.io/Logging_1381/klagomål/A 263-2023 FSC-klagomål.docx", "A 263-2023")</f>
        <v/>
      </c>
      <c r="AB24">
        <f>HYPERLINK("https://klasma.github.io/Logging_1381/klagomålsmail/A 263-2023 FSC-klagomål mail.docx", "A 263-2023")</f>
        <v/>
      </c>
      <c r="AC24">
        <f>HYPERLINK("https://klasma.github.io/Logging_1381/tillsyn/A 263-2023 tillsynsbegäran.docx", "A 263-2023")</f>
        <v/>
      </c>
      <c r="AD24">
        <f>HYPERLINK("https://klasma.github.io/Logging_1381/tillsynsmail/A 263-2023 tillsynsbegäran mail.docx", "A 263-2023")</f>
        <v/>
      </c>
    </row>
    <row r="25" ht="15" customHeight="1">
      <c r="A25" t="inlineStr">
        <is>
          <t>A 6361-2026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46051</v>
      </c>
      <c r="E25" s="1" t="n">
        <v>46315</v>
      </c>
      <c r="F25" t="inlineStr">
        <is>
          <t>HALLANDS LÄN</t>
        </is>
      </c>
      <c r="G25" t="inlineStr">
        <is>
          <t>LAHOLM</t>
        </is>
      </c>
      <c r="I25" t="n">
        <v>0.5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Flikbålmossa</t>
        </is>
      </c>
      <c r="W25">
        <f>HYPERLINK("https://klasma.github.io/Logging_1381/artfynd/A 6361-2026 artfynd.xlsx", "A 6361-2026")</f>
        <v/>
      </c>
      <c r="X25">
        <f>HYPERLINK("https://klasma.github.io/Logging_1381/kartor/A 6361-2026 karta.png", "A 6361-2026")</f>
        <v/>
      </c>
      <c r="Y25">
        <f>HYPERLINK("https://klasma.github.io/Logging_1381/kartor_geotiff/A 6361-2026 georefererad karta.tif", "A 6361-2026")</f>
        <v/>
      </c>
      <c r="AA25">
        <f>HYPERLINK("https://klasma.github.io/Logging_1381/klagomål/A 6361-2026 FSC-klagomål.docx", "A 6361-2026")</f>
        <v/>
      </c>
      <c r="AB25">
        <f>HYPERLINK("https://klasma.github.io/Logging_1381/klagomålsmail/A 6361-2026 FSC-klagomål mail.docx", "A 6361-2026")</f>
        <v/>
      </c>
      <c r="AC25">
        <f>HYPERLINK("https://klasma.github.io/Logging_1381/tillsyn/A 6361-2026 tillsynsbegäran.docx", "A 6361-2026")</f>
        <v/>
      </c>
      <c r="AD25">
        <f>HYPERLINK("https://klasma.github.io/Logging_1381/tillsynsmail/A 6361-2026 tillsynsbegäran mail.docx", "A 6361-2026")</f>
        <v/>
      </c>
    </row>
    <row r="26" ht="15" customHeight="1">
      <c r="A26" t="inlineStr">
        <is>
          <t>A 52155-2023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45224</v>
      </c>
      <c r="E26" s="1" t="n">
        <v>46315</v>
      </c>
      <c r="F26" t="inlineStr">
        <is>
          <t>HALLANDS LÄN</t>
        </is>
      </c>
      <c r="G26" t="inlineStr">
        <is>
          <t>LAHOLM</t>
        </is>
      </c>
      <c r="I26" t="n">
        <v>2.6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Järnsparv</t>
        </is>
      </c>
      <c r="W26">
        <f>HYPERLINK("https://klasma.github.io/Logging_1381/artfynd/A 52155-2023 artfynd.xlsx", "A 52155-2023")</f>
        <v/>
      </c>
      <c r="X26">
        <f>HYPERLINK("https://klasma.github.io/Logging_1381/kartor/A 52155-2023 karta.png", "A 52155-2023")</f>
        <v/>
      </c>
      <c r="Y26">
        <f>HYPERLINK("https://klasma.github.io/Logging_1381/kartor_geotiff/A 52155-2023 georefererad karta.tif", "A 52155-2023")</f>
        <v/>
      </c>
      <c r="AA26">
        <f>HYPERLINK("https://klasma.github.io/Logging_1381/klagomål/A 52155-2023 FSC-klagomål.docx", "A 52155-2023")</f>
        <v/>
      </c>
      <c r="AB26">
        <f>HYPERLINK("https://klasma.github.io/Logging_1381/klagomålsmail/A 52155-2023 FSC-klagomål mail.docx", "A 52155-2023")</f>
        <v/>
      </c>
      <c r="AC26">
        <f>HYPERLINK("https://klasma.github.io/Logging_1381/tillsyn/A 52155-2023 tillsynsbegäran.docx", "A 52155-2023")</f>
        <v/>
      </c>
      <c r="AD26">
        <f>HYPERLINK("https://klasma.github.io/Logging_1381/tillsynsmail/A 52155-2023 tillsynsbegäran mail.docx", "A 52155-2023")</f>
        <v/>
      </c>
      <c r="AE26">
        <f>HYPERLINK("https://klasma.github.io/Logging_1381/fåglar/A 52155-2023 prioriterade fågelarter.docx", "A 52155-2023")</f>
        <v/>
      </c>
    </row>
    <row r="27" ht="15" customHeight="1">
      <c r="A27" t="inlineStr">
        <is>
          <t>A 35897-2022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44802</v>
      </c>
      <c r="E27" s="1" t="n">
        <v>46315</v>
      </c>
      <c r="F27" t="inlineStr">
        <is>
          <t>HALLANDS LÄN</t>
        </is>
      </c>
      <c r="G27" t="inlineStr">
        <is>
          <t>LAHOLM</t>
        </is>
      </c>
      <c r="I27" t="n">
        <v>1.9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Ask</t>
        </is>
      </c>
      <c r="W27">
        <f>HYPERLINK("https://klasma.github.io/Logging_1381/artfynd/A 35897-2022 artfynd.xlsx", "A 35897-2022")</f>
        <v/>
      </c>
      <c r="X27">
        <f>HYPERLINK("https://klasma.github.io/Logging_1381/kartor/A 35897-2022 karta.png", "A 35897-2022")</f>
        <v/>
      </c>
      <c r="Y27">
        <f>HYPERLINK("https://klasma.github.io/Logging_1381/kartor_geotiff/A 35897-2022 georefererad karta.tif", "A 35897-2022")</f>
        <v/>
      </c>
      <c r="AA27">
        <f>HYPERLINK("https://klasma.github.io/Logging_1381/klagomål/A 35897-2022 FSC-klagomål.docx", "A 35897-2022")</f>
        <v/>
      </c>
      <c r="AB27">
        <f>HYPERLINK("https://klasma.github.io/Logging_1381/klagomålsmail/A 35897-2022 FSC-klagomål mail.docx", "A 35897-2022")</f>
        <v/>
      </c>
      <c r="AC27">
        <f>HYPERLINK("https://klasma.github.io/Logging_1381/tillsyn/A 35897-2022 tillsynsbegäran.docx", "A 35897-2022")</f>
        <v/>
      </c>
      <c r="AD27">
        <f>HYPERLINK("https://klasma.github.io/Logging_1381/tillsynsmail/A 35897-2022 tillsynsbegäran mail.docx", "A 35897-2022")</f>
        <v/>
      </c>
    </row>
    <row r="28" ht="15" customHeight="1">
      <c r="A28" t="inlineStr">
        <is>
          <t>A 17642-2026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46121</v>
      </c>
      <c r="E28" s="1" t="n">
        <v>46315</v>
      </c>
      <c r="F28" t="inlineStr">
        <is>
          <t>HALLANDS LÄN</t>
        </is>
      </c>
      <c r="G28" t="inlineStr">
        <is>
          <t>LAHOLM</t>
        </is>
      </c>
      <c r="I28" t="n">
        <v>3.8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Småvänderot</t>
        </is>
      </c>
      <c r="W28">
        <f>HYPERLINK("https://klasma.github.io/Logging_1381/artfynd/A 17642-2026 artfynd.xlsx", "A 17642-2026")</f>
        <v/>
      </c>
      <c r="X28">
        <f>HYPERLINK("https://klasma.github.io/Logging_1381/kartor/A 17642-2026 karta.png", "A 17642-2026")</f>
        <v/>
      </c>
      <c r="Y28">
        <f>HYPERLINK("https://klasma.github.io/Logging_1381/kartor_geotiff/A 17642-2026 georefererad karta.tif", "A 17642-2026")</f>
        <v/>
      </c>
      <c r="AA28">
        <f>HYPERLINK("https://klasma.github.io/Logging_1381/klagomål/A 17642-2026 FSC-klagomål.docx", "A 17642-2026")</f>
        <v/>
      </c>
      <c r="AB28">
        <f>HYPERLINK("https://klasma.github.io/Logging_1381/klagomålsmail/A 17642-2026 FSC-klagomål mail.docx", "A 17642-2026")</f>
        <v/>
      </c>
      <c r="AC28">
        <f>HYPERLINK("https://klasma.github.io/Logging_1381/tillsyn/A 17642-2026 tillsynsbegäran.docx", "A 17642-2026")</f>
        <v/>
      </c>
      <c r="AD28">
        <f>HYPERLINK("https://klasma.github.io/Logging_1381/tillsynsmail/A 17642-2026 tillsynsbegäran mail.docx", "A 17642-2026")</f>
        <v/>
      </c>
    </row>
    <row r="29" ht="15" customHeight="1">
      <c r="A29" t="inlineStr">
        <is>
          <t>A 5677-2022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44596</v>
      </c>
      <c r="E29" s="1" t="n">
        <v>46315</v>
      </c>
      <c r="F29" t="inlineStr">
        <is>
          <t>HALLANDS LÄN</t>
        </is>
      </c>
      <c r="G29" t="inlineStr">
        <is>
          <t>LAHOLM</t>
        </is>
      </c>
      <c r="I29" t="n">
        <v>0.2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Svinrot</t>
        </is>
      </c>
      <c r="W29">
        <f>HYPERLINK("https://klasma.github.io/Logging_1381/artfynd/A 5677-2022 artfynd.xlsx", "A 5677-2022")</f>
        <v/>
      </c>
      <c r="X29">
        <f>HYPERLINK("https://klasma.github.io/Logging_1381/kartor/A 5677-2022 karta.png", "A 5677-2022")</f>
        <v/>
      </c>
      <c r="Y29">
        <f>HYPERLINK("https://klasma.github.io/Logging_1381/kartor_geotiff/A 5677-2022 georefererad karta.tif", "A 5677-2022")</f>
        <v/>
      </c>
      <c r="AA29">
        <f>HYPERLINK("https://klasma.github.io/Logging_1381/klagomål/A 5677-2022 FSC-klagomål.docx", "A 5677-2022")</f>
        <v/>
      </c>
      <c r="AB29">
        <f>HYPERLINK("https://klasma.github.io/Logging_1381/klagomålsmail/A 5677-2022 FSC-klagomål mail.docx", "A 5677-2022")</f>
        <v/>
      </c>
      <c r="AC29">
        <f>HYPERLINK("https://klasma.github.io/Logging_1381/tillsyn/A 5677-2022 tillsynsbegäran.docx", "A 5677-2022")</f>
        <v/>
      </c>
      <c r="AD29">
        <f>HYPERLINK("https://klasma.github.io/Logging_1381/tillsynsmail/A 5677-2022 tillsynsbegäran mail.docx", "A 5677-2022")</f>
        <v/>
      </c>
    </row>
    <row r="30" ht="15" customHeight="1">
      <c r="A30" t="inlineStr">
        <is>
          <t>A 35453-2023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45146</v>
      </c>
      <c r="E30" s="1" t="n">
        <v>46315</v>
      </c>
      <c r="F30" t="inlineStr">
        <is>
          <t>HALLANDS LÄN</t>
        </is>
      </c>
      <c r="G30" t="inlineStr">
        <is>
          <t>LAHOLM</t>
        </is>
      </c>
      <c r="I30" t="n">
        <v>1.8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Svinrot</t>
        </is>
      </c>
      <c r="W30">
        <f>HYPERLINK("https://klasma.github.io/Logging_1381/artfynd/A 35453-2023 artfynd.xlsx", "A 35453-2023")</f>
        <v/>
      </c>
      <c r="X30">
        <f>HYPERLINK("https://klasma.github.io/Logging_1381/kartor/A 35453-2023 karta.png", "A 35453-2023")</f>
        <v/>
      </c>
      <c r="Y30">
        <f>HYPERLINK("https://klasma.github.io/Logging_1381/kartor_geotiff/A 35453-2023 georefererad karta.tif", "A 35453-2023")</f>
        <v/>
      </c>
      <c r="AA30">
        <f>HYPERLINK("https://klasma.github.io/Logging_1381/klagomål/A 35453-2023 FSC-klagomål.docx", "A 35453-2023")</f>
        <v/>
      </c>
      <c r="AB30">
        <f>HYPERLINK("https://klasma.github.io/Logging_1381/klagomålsmail/A 35453-2023 FSC-klagomål mail.docx", "A 35453-2023")</f>
        <v/>
      </c>
      <c r="AC30">
        <f>HYPERLINK("https://klasma.github.io/Logging_1381/tillsyn/A 35453-2023 tillsynsbegäran.docx", "A 35453-2023")</f>
        <v/>
      </c>
      <c r="AD30">
        <f>HYPERLINK("https://klasma.github.io/Logging_1381/tillsynsmail/A 35453-2023 tillsynsbegäran mail.docx", "A 35453-2023")</f>
        <v/>
      </c>
    </row>
    <row r="31" ht="15" customHeight="1">
      <c r="A31" t="inlineStr">
        <is>
          <t>A 37722-2026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46279</v>
      </c>
      <c r="E31" s="1" t="n">
        <v>46315</v>
      </c>
      <c r="F31" t="inlineStr">
        <is>
          <t>HALLANDS LÄN</t>
        </is>
      </c>
      <c r="G31" t="inlineStr">
        <is>
          <t>LAHOLM</t>
        </is>
      </c>
      <c r="I31" t="n">
        <v>4.5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Svinrot</t>
        </is>
      </c>
      <c r="W31">
        <f>HYPERLINK("https://klasma.github.io/Logging_1381/artfynd/A 37722-2026 artfynd.xlsx", "A 37722-2026")</f>
        <v/>
      </c>
      <c r="X31">
        <f>HYPERLINK("https://klasma.github.io/Logging_1381/kartor/A 37722-2026 karta.png", "A 37722-2026")</f>
        <v/>
      </c>
      <c r="Y31">
        <f>HYPERLINK("https://klasma.github.io/Logging_1381/kartor_geotiff/A 37722-2026 georefererad karta.tif", "A 37722-2026")</f>
        <v/>
      </c>
      <c r="AA31">
        <f>HYPERLINK("https://klasma.github.io/Logging_1381/klagomål/A 37722-2026 FSC-klagomål.docx", "A 37722-2026")</f>
        <v/>
      </c>
      <c r="AB31">
        <f>HYPERLINK("https://klasma.github.io/Logging_1381/klagomålsmail/A 37722-2026 FSC-klagomål mail.docx", "A 37722-2026")</f>
        <v/>
      </c>
      <c r="AC31">
        <f>HYPERLINK("https://klasma.github.io/Logging_1381/tillsyn/A 37722-2026 tillsynsbegäran.docx", "A 37722-2026")</f>
        <v/>
      </c>
      <c r="AD31">
        <f>HYPERLINK("https://klasma.github.io/Logging_1381/tillsynsmail/A 37722-2026 tillsynsbegäran mail.docx", "A 37722-2026")</f>
        <v/>
      </c>
    </row>
    <row r="32" ht="15" customHeight="1">
      <c r="A32" t="inlineStr">
        <is>
          <t>A 33086-2026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46245</v>
      </c>
      <c r="E32" s="1" t="n">
        <v>46315</v>
      </c>
      <c r="F32" t="inlineStr">
        <is>
          <t>HALLANDS LÄN</t>
        </is>
      </c>
      <c r="G32" t="inlineStr">
        <is>
          <t>LAHOLM</t>
        </is>
      </c>
      <c r="I32" t="n">
        <v>2.1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Blå taggsvamp</t>
        </is>
      </c>
      <c r="W32">
        <f>HYPERLINK("https://klasma.github.io/Logging_1381/artfynd/A 33086-2026 artfynd.xlsx", "A 33086-2026")</f>
        <v/>
      </c>
      <c r="X32">
        <f>HYPERLINK("https://klasma.github.io/Logging_1381/kartor/A 33086-2026 karta.png", "A 33086-2026")</f>
        <v/>
      </c>
      <c r="Y32">
        <f>HYPERLINK("https://klasma.github.io/Logging_1381/kartor_geotiff/A 33086-2026 georefererad karta.tif", "A 33086-2026")</f>
        <v/>
      </c>
      <c r="AA32">
        <f>HYPERLINK("https://klasma.github.io/Logging_1381/klagomål/A 33086-2026 FSC-klagomål.docx", "A 33086-2026")</f>
        <v/>
      </c>
      <c r="AB32">
        <f>HYPERLINK("https://klasma.github.io/Logging_1381/klagomålsmail/A 33086-2026 FSC-klagomål mail.docx", "A 33086-2026")</f>
        <v/>
      </c>
      <c r="AC32">
        <f>HYPERLINK("https://klasma.github.io/Logging_1381/tillsyn/A 33086-2026 tillsynsbegäran.docx", "A 33086-2026")</f>
        <v/>
      </c>
      <c r="AD32">
        <f>HYPERLINK("https://klasma.github.io/Logging_1381/tillsynsmail/A 33086-2026 tillsynsbegäran mail.docx", "A 33086-2026")</f>
        <v/>
      </c>
    </row>
    <row r="33" ht="15" customHeight="1">
      <c r="A33" t="inlineStr">
        <is>
          <t>A 39795-2026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46290</v>
      </c>
      <c r="E33" s="1" t="n">
        <v>46315</v>
      </c>
      <c r="F33" t="inlineStr">
        <is>
          <t>HALLANDS LÄN</t>
        </is>
      </c>
      <c r="G33" t="inlineStr">
        <is>
          <t>LAHOLM</t>
        </is>
      </c>
      <c r="I33" t="n">
        <v>3.4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Hårginst</t>
        </is>
      </c>
      <c r="W33">
        <f>HYPERLINK("https://klasma.github.io/Logging_1381/artfynd/A 39795-2026 artfynd.xlsx", "A 39795-2026")</f>
        <v/>
      </c>
      <c r="X33">
        <f>HYPERLINK("https://klasma.github.io/Logging_1381/kartor/A 39795-2026 karta.png", "A 39795-2026")</f>
        <v/>
      </c>
      <c r="Y33">
        <f>HYPERLINK("https://klasma.github.io/Logging_1381/kartor_geotiff/A 39795-2026 georefererad karta.tif", "A 39795-2026")</f>
        <v/>
      </c>
      <c r="AA33">
        <f>HYPERLINK("https://klasma.github.io/Logging_1381/klagomål/A 39795-2026 FSC-klagomål.docx", "A 39795-2026")</f>
        <v/>
      </c>
      <c r="AB33">
        <f>HYPERLINK("https://klasma.github.io/Logging_1381/klagomålsmail/A 39795-2026 FSC-klagomål mail.docx", "A 39795-2026")</f>
        <v/>
      </c>
      <c r="AC33">
        <f>HYPERLINK("https://klasma.github.io/Logging_1381/tillsyn/A 39795-2026 tillsynsbegäran.docx", "A 39795-2026")</f>
        <v/>
      </c>
      <c r="AD33">
        <f>HYPERLINK("https://klasma.github.io/Logging_1381/tillsynsmail/A 39795-2026 tillsynsbegäran mail.docx", "A 39795-2026")</f>
        <v/>
      </c>
    </row>
    <row r="34" ht="15" customHeight="1">
      <c r="A34" t="inlineStr">
        <is>
          <t>A 3691-2024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45321</v>
      </c>
      <c r="E34" s="1" t="n">
        <v>46315</v>
      </c>
      <c r="F34" t="inlineStr">
        <is>
          <t>HALLANDS LÄN</t>
        </is>
      </c>
      <c r="G34" t="inlineStr">
        <is>
          <t>LAHOLM</t>
        </is>
      </c>
      <c r="I34" t="n">
        <v>6.6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Revlummer</t>
        </is>
      </c>
      <c r="W34">
        <f>HYPERLINK("https://klasma.github.io/Logging_1381/artfynd/A 3691-2024 artfynd.xlsx", "A 3691-2024")</f>
        <v/>
      </c>
      <c r="X34">
        <f>HYPERLINK("https://klasma.github.io/Logging_1381/kartor/A 3691-2024 karta.png", "A 3691-2024")</f>
        <v/>
      </c>
      <c r="Y34">
        <f>HYPERLINK("https://klasma.github.io/Logging_1381/kartor_geotiff/A 3691-2024 georefererad karta.tif", "A 3691-2024")</f>
        <v/>
      </c>
      <c r="AA34">
        <f>HYPERLINK("https://klasma.github.io/Logging_1381/klagomål/A 3691-2024 FSC-klagomål.docx", "A 3691-2024")</f>
        <v/>
      </c>
      <c r="AB34">
        <f>HYPERLINK("https://klasma.github.io/Logging_1381/klagomålsmail/A 3691-2024 FSC-klagomål mail.docx", "A 3691-2024")</f>
        <v/>
      </c>
      <c r="AC34">
        <f>HYPERLINK("https://klasma.github.io/Logging_1381/tillsyn/A 3691-2024 tillsynsbegäran.docx", "A 3691-2024")</f>
        <v/>
      </c>
      <c r="AD34">
        <f>HYPERLINK("https://klasma.github.io/Logging_1381/tillsynsmail/A 3691-2024 tillsynsbegäran mail.docx", "A 3691-2024")</f>
        <v/>
      </c>
    </row>
    <row r="35" ht="15" customHeight="1">
      <c r="A35" t="inlineStr">
        <is>
          <t>A 37556-2023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45159</v>
      </c>
      <c r="E35" s="1" t="n">
        <v>46315</v>
      </c>
      <c r="F35" t="inlineStr">
        <is>
          <t>HALLANDS LÄN</t>
        </is>
      </c>
      <c r="G35" t="inlineStr">
        <is>
          <t>LAHOLM</t>
        </is>
      </c>
      <c r="I35" t="n">
        <v>0.9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5</v>
      </c>
      <c r="U35" t="n">
        <v>2</v>
      </c>
      <c r="V35" s="2" t="inlineStr">
        <is>
          <t>Vildris</t>
        </is>
      </c>
      <c r="W35">
        <f>HYPERLINK("https://klasma.github.io/Logging_1381/artfynd/A 37556-2023 artfynd.xlsx", "A 37556-2023")</f>
        <v/>
      </c>
      <c r="X35">
        <f>HYPERLINK("https://klasma.github.io/Logging_1381/kartor/A 37556-2023 karta.png", "A 37556-2023")</f>
        <v/>
      </c>
      <c r="Y35">
        <f>HYPERLINK("https://klasma.github.io/Logging_1381/kartor_geotiff/A 37556-2023 georefererad karta.tif", "A 37556-2023")</f>
        <v/>
      </c>
      <c r="AA35">
        <f>HYPERLINK("https://klasma.github.io/Logging_1381/klagomål/A 37556-2023 FSC-klagomål.docx", "A 37556-2023")</f>
        <v/>
      </c>
      <c r="AB35">
        <f>HYPERLINK("https://klasma.github.io/Logging_1381/klagomålsmail/A 37556-2023 FSC-klagomål mail.docx", "A 37556-2023")</f>
        <v/>
      </c>
      <c r="AC35">
        <f>HYPERLINK("https://klasma.github.io/Logging_1381/tillsyn/A 37556-2023 tillsynsbegäran.docx", "A 37556-2023")</f>
        <v/>
      </c>
      <c r="AD35">
        <f>HYPERLINK("https://klasma.github.io/Logging_1381/tillsynsmail/A 37556-2023 tillsynsbegäran mail.docx", "A 37556-2023")</f>
        <v/>
      </c>
    </row>
    <row r="36" ht="15" customHeight="1">
      <c r="A36" t="inlineStr">
        <is>
          <t>A 3576-2025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45680</v>
      </c>
      <c r="E36" s="1" t="n">
        <v>46315</v>
      </c>
      <c r="F36" t="inlineStr">
        <is>
          <t>HALLANDS LÄN</t>
        </is>
      </c>
      <c r="G36" t="inlineStr">
        <is>
          <t>LAHOLM</t>
        </is>
      </c>
      <c r="I36" t="n">
        <v>4.4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Spillkråka</t>
        </is>
      </c>
      <c r="W36">
        <f>HYPERLINK("https://klasma.github.io/Logging_1381/artfynd/A 3576-2025 artfynd.xlsx", "A 3576-2025")</f>
        <v/>
      </c>
      <c r="X36">
        <f>HYPERLINK("https://klasma.github.io/Logging_1381/kartor/A 3576-2025 karta.png", "A 3576-2025")</f>
        <v/>
      </c>
      <c r="Y36">
        <f>HYPERLINK("https://klasma.github.io/Logging_1381/kartor_geotiff/A 3576-2025 georefererad karta.tif", "A 3576-2025")</f>
        <v/>
      </c>
      <c r="AA36">
        <f>HYPERLINK("https://klasma.github.io/Logging_1381/klagomål/A 3576-2025 FSC-klagomål.docx", "A 3576-2025")</f>
        <v/>
      </c>
      <c r="AB36">
        <f>HYPERLINK("https://klasma.github.io/Logging_1381/klagomålsmail/A 3576-2025 FSC-klagomål mail.docx", "A 3576-2025")</f>
        <v/>
      </c>
      <c r="AC36">
        <f>HYPERLINK("https://klasma.github.io/Logging_1381/tillsyn/A 3576-2025 tillsynsbegäran.docx", "A 3576-2025")</f>
        <v/>
      </c>
      <c r="AD36">
        <f>HYPERLINK("https://klasma.github.io/Logging_1381/tillsynsmail/A 3576-2025 tillsynsbegäran mail.docx", "A 3576-2025")</f>
        <v/>
      </c>
      <c r="AE36">
        <f>HYPERLINK("https://klasma.github.io/Logging_1381/fåglar/A 3576-2025 prioriterade fågelarter.docx", "A 3576-2025")</f>
        <v/>
      </c>
    </row>
    <row r="37" ht="15" customHeight="1">
      <c r="A37" t="inlineStr">
        <is>
          <t>A 55322-2025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45971</v>
      </c>
      <c r="E37" s="1" t="n">
        <v>46315</v>
      </c>
      <c r="F37" t="inlineStr">
        <is>
          <t>HALLANDS LÄN</t>
        </is>
      </c>
      <c r="G37" t="inlineStr">
        <is>
          <t>LAHOLM</t>
        </is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2</v>
      </c>
      <c r="U37" t="n">
        <v>0</v>
      </c>
      <c r="V37" s="2" t="inlineStr">
        <is>
          <t>Hårginst</t>
        </is>
      </c>
      <c r="W37">
        <f>HYPERLINK("https://klasma.github.io/Logging_1381/artfynd/A 55322-2025 artfynd.xlsx", "A 55322-2025")</f>
        <v/>
      </c>
      <c r="X37">
        <f>HYPERLINK("https://klasma.github.io/Logging_1381/kartor/A 55322-2025 karta.png", "A 55322-2025")</f>
        <v/>
      </c>
      <c r="Y37">
        <f>HYPERLINK("https://klasma.github.io/Logging_1381/kartor_geotiff/A 55322-2025 georefererad karta.tif", "A 55322-2025")</f>
        <v/>
      </c>
      <c r="AA37">
        <f>HYPERLINK("https://klasma.github.io/Logging_1381/klagomål/A 55322-2025 FSC-klagomål.docx", "A 55322-2025")</f>
        <v/>
      </c>
      <c r="AB37">
        <f>HYPERLINK("https://klasma.github.io/Logging_1381/klagomålsmail/A 55322-2025 FSC-klagomål mail.docx", "A 55322-2025")</f>
        <v/>
      </c>
      <c r="AC37">
        <f>HYPERLINK("https://klasma.github.io/Logging_1381/tillsyn/A 55322-2025 tillsynsbegäran.docx", "A 55322-2025")</f>
        <v/>
      </c>
      <c r="AD37">
        <f>HYPERLINK("https://klasma.github.io/Logging_1381/tillsynsmail/A 55322-2025 tillsynsbegäran mail.docx", "A 55322-2025")</f>
        <v/>
      </c>
    </row>
    <row r="38" ht="15" customHeight="1">
      <c r="A38" t="inlineStr">
        <is>
          <t>A 27179-2025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45812</v>
      </c>
      <c r="E38" s="1" t="n">
        <v>46315</v>
      </c>
      <c r="F38" t="inlineStr">
        <is>
          <t>HALLANDS LÄN</t>
        </is>
      </c>
      <c r="G38" t="inlineStr">
        <is>
          <t>LAHOLM</t>
        </is>
      </c>
      <c r="I38" t="n">
        <v>1.8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Kambräken</t>
        </is>
      </c>
      <c r="W38">
        <f>HYPERLINK("https://klasma.github.io/Logging_1381/artfynd/A 27179-2025 artfynd.xlsx", "A 27179-2025")</f>
        <v/>
      </c>
      <c r="X38">
        <f>HYPERLINK("https://klasma.github.io/Logging_1381/kartor/A 27179-2025 karta.png", "A 27179-2025")</f>
        <v/>
      </c>
      <c r="Y38">
        <f>HYPERLINK("https://klasma.github.io/Logging_1381/kartor_geotiff/A 27179-2025 georefererad karta.tif", "A 27179-2025")</f>
        <v/>
      </c>
      <c r="AA38">
        <f>HYPERLINK("https://klasma.github.io/Logging_1381/klagomål/A 27179-2025 FSC-klagomål.docx", "A 27179-2025")</f>
        <v/>
      </c>
      <c r="AB38">
        <f>HYPERLINK("https://klasma.github.io/Logging_1381/klagomålsmail/A 27179-2025 FSC-klagomål mail.docx", "A 27179-2025")</f>
        <v/>
      </c>
      <c r="AC38">
        <f>HYPERLINK("https://klasma.github.io/Logging_1381/tillsyn/A 27179-2025 tillsynsbegäran.docx", "A 27179-2025")</f>
        <v/>
      </c>
      <c r="AD38">
        <f>HYPERLINK("https://klasma.github.io/Logging_1381/tillsynsmail/A 27179-2025 tillsynsbegäran mail.docx", "A 27179-2025")</f>
        <v/>
      </c>
    </row>
    <row r="39" ht="15" customHeight="1">
      <c r="A39" t="inlineStr">
        <is>
          <t>A 48972-2023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45209</v>
      </c>
      <c r="E39" s="1" t="n">
        <v>46315</v>
      </c>
      <c r="F39" t="inlineStr">
        <is>
          <t>HALLANDS LÄN</t>
        </is>
      </c>
      <c r="G39" t="inlineStr">
        <is>
          <t>LAHOLM</t>
        </is>
      </c>
      <c r="I39" t="n">
        <v>1.2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Svinrot</t>
        </is>
      </c>
      <c r="W39">
        <f>HYPERLINK("https://klasma.github.io/Logging_1381/artfynd/A 48972-2023 artfynd.xlsx", "A 48972-2023")</f>
        <v/>
      </c>
      <c r="X39">
        <f>HYPERLINK("https://klasma.github.io/Logging_1381/kartor/A 48972-2023 karta.png", "A 48972-2023")</f>
        <v/>
      </c>
      <c r="Y39">
        <f>HYPERLINK("https://klasma.github.io/Logging_1381/kartor_geotiff/A 48972-2023 georefererad karta.tif", "A 48972-2023")</f>
        <v/>
      </c>
      <c r="AA39">
        <f>HYPERLINK("https://klasma.github.io/Logging_1381/klagomål/A 48972-2023 FSC-klagomål.docx", "A 48972-2023")</f>
        <v/>
      </c>
      <c r="AB39">
        <f>HYPERLINK("https://klasma.github.io/Logging_1381/klagomålsmail/A 48972-2023 FSC-klagomål mail.docx", "A 48972-2023")</f>
        <v/>
      </c>
      <c r="AC39">
        <f>HYPERLINK("https://klasma.github.io/Logging_1381/tillsyn/A 48972-2023 tillsynsbegäran.docx", "A 48972-2023")</f>
        <v/>
      </c>
      <c r="AD39">
        <f>HYPERLINK("https://klasma.github.io/Logging_1381/tillsynsmail/A 48972-2023 tillsynsbegäran mail.docx", "A 48972-2023")</f>
        <v/>
      </c>
    </row>
    <row r="40" ht="15" customHeight="1">
      <c r="A40" t="inlineStr">
        <is>
          <t>A 12502-2025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45730</v>
      </c>
      <c r="E40" s="1" t="n">
        <v>46315</v>
      </c>
      <c r="F40" t="inlineStr">
        <is>
          <t>HALLANDS LÄN</t>
        </is>
      </c>
      <c r="G40" t="inlineStr">
        <is>
          <t>LAHOLM</t>
        </is>
      </c>
      <c r="I40" t="n">
        <v>1.1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Svinrot</t>
        </is>
      </c>
      <c r="W40">
        <f>HYPERLINK("https://klasma.github.io/Logging_1381/artfynd/A 12502-2025 artfynd.xlsx", "A 12502-2025")</f>
        <v/>
      </c>
      <c r="X40">
        <f>HYPERLINK("https://klasma.github.io/Logging_1381/kartor/A 12502-2025 karta.png", "A 12502-2025")</f>
        <v/>
      </c>
      <c r="Y40">
        <f>HYPERLINK("https://klasma.github.io/Logging_1381/kartor_geotiff/A 12502-2025 georefererad karta.tif", "A 12502-2025")</f>
        <v/>
      </c>
      <c r="AA40">
        <f>HYPERLINK("https://klasma.github.io/Logging_1381/klagomål/A 12502-2025 FSC-klagomål.docx", "A 12502-2025")</f>
        <v/>
      </c>
      <c r="AB40">
        <f>HYPERLINK("https://klasma.github.io/Logging_1381/klagomålsmail/A 12502-2025 FSC-klagomål mail.docx", "A 12502-2025")</f>
        <v/>
      </c>
      <c r="AC40">
        <f>HYPERLINK("https://klasma.github.io/Logging_1381/tillsyn/A 12502-2025 tillsynsbegäran.docx", "A 12502-2025")</f>
        <v/>
      </c>
      <c r="AD40">
        <f>HYPERLINK("https://klasma.github.io/Logging_1381/tillsynsmail/A 12502-2025 tillsynsbegäran mail.docx", "A 12502-2025")</f>
        <v/>
      </c>
    </row>
    <row r="41" ht="15" customHeight="1">
      <c r="A41" t="inlineStr">
        <is>
          <t>S 2242-2024</t>
        </is>
      </c>
      <c r="B41" t="inlineStr">
        <is>
          <t>samrådsanmälan</t>
        </is>
      </c>
      <c r="C41" t="inlineStr">
        <is>
          <t>Askåterföring</t>
        </is>
      </c>
      <c r="D41" s="1" t="n">
        <v>45460</v>
      </c>
      <c r="E41" s="1" t="n">
        <v>46315</v>
      </c>
      <c r="F41" t="inlineStr">
        <is>
          <t>HALLANDS LÄN</t>
        </is>
      </c>
      <c r="G41" t="inlineStr">
        <is>
          <t>LAHOLM</t>
        </is>
      </c>
      <c r="H41" t="inlineStr">
        <is>
          <t>Kommuner</t>
        </is>
      </c>
      <c r="I41" t="n">
        <v>34.5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Källpraktmossa</t>
        </is>
      </c>
      <c r="W41">
        <f>HYPERLINK("https://klasma.github.io/Logging_1381/artfynd/S 2242-2024 artfynd.xlsx", "S 2242-2024")</f>
        <v/>
      </c>
      <c r="X41">
        <f>HYPERLINK("https://klasma.github.io/Logging_1381/kartor/S 2242-2024 karta.png", "S 2242-2024")</f>
        <v/>
      </c>
      <c r="Y41">
        <f>HYPERLINK("https://klasma.github.io/Logging_1381/kartor_geotiff/S 2242-2024 georefererad karta.tif", "S 2242-2024")</f>
        <v/>
      </c>
      <c r="AA41">
        <f>HYPERLINK("https://klasma.github.io/Logging_1381/klagomål/S 2242-2024 FSC-klagomål.docx", "S 2242-2024")</f>
        <v/>
      </c>
      <c r="AB41">
        <f>HYPERLINK("https://klasma.github.io/Logging_1381/klagomålsmail/S 2242-2024 FSC-klagomål mail.docx", "S 2242-2024")</f>
        <v/>
      </c>
      <c r="AC41">
        <f>HYPERLINK("https://klasma.github.io/Logging_1381/tillsyn/S 2242-2024 tillsynsbegäran.docx", "S 2242-2024")</f>
        <v/>
      </c>
      <c r="AD41">
        <f>HYPERLINK("https://klasma.github.io/Logging_1381/tillsynsmail/S 2242-2024 tillsynsbegäran mail.docx", "S 2242-2024")</f>
        <v/>
      </c>
    </row>
    <row r="42" ht="15" customHeight="1">
      <c r="A42" t="inlineStr">
        <is>
          <t>S 3693-2024</t>
        </is>
      </c>
      <c r="B42" t="inlineStr">
        <is>
          <t>samrådsanmälan</t>
        </is>
      </c>
      <c r="C42" t="inlineStr">
        <is>
          <t>Askåterföring</t>
        </is>
      </c>
      <c r="D42" s="1" t="n">
        <v>45552</v>
      </c>
      <c r="E42" s="1" t="n">
        <v>46315</v>
      </c>
      <c r="F42" t="inlineStr">
        <is>
          <t>HALLANDS LÄN</t>
        </is>
      </c>
      <c r="G42" t="inlineStr">
        <is>
          <t>LAHOLM</t>
        </is>
      </c>
      <c r="I42" t="n">
        <v>30.3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s="2" t="inlineStr">
        <is>
          <t>Armadillidium opacum</t>
        </is>
      </c>
      <c r="W42">
        <f>HYPERLINK("https://klasma.github.io/Logging_1381/artfynd/S 3693-2024 artfynd.xlsx", "S 3693-2024")</f>
        <v/>
      </c>
      <c r="X42">
        <f>HYPERLINK("https://klasma.github.io/Logging_1381/kartor/S 3693-2024 karta.png", "S 3693-2024")</f>
        <v/>
      </c>
      <c r="Y42">
        <f>HYPERLINK("https://klasma.github.io/Logging_1381/kartor_geotiff/S 3693-2024 georefererad karta.tif", "S 3693-2024")</f>
        <v/>
      </c>
      <c r="AA42">
        <f>HYPERLINK("https://klasma.github.io/Logging_1381/klagomål/S 3693-2024 FSC-klagomål.docx", "S 3693-2024")</f>
        <v/>
      </c>
      <c r="AB42">
        <f>HYPERLINK("https://klasma.github.io/Logging_1381/klagomålsmail/S 3693-2024 FSC-klagomål mail.docx", "S 3693-2024")</f>
        <v/>
      </c>
      <c r="AC42">
        <f>HYPERLINK("https://klasma.github.io/Logging_1381/tillsyn/S 3693-2024 tillsynsbegäran.docx", "S 3693-2024")</f>
        <v/>
      </c>
      <c r="AD42">
        <f>HYPERLINK("https://klasma.github.io/Logging_1381/tillsynsmail/S 3693-2024 tillsynsbegäran mail.docx", "S 3693-2024")</f>
        <v/>
      </c>
    </row>
    <row r="43" ht="15" customHeight="1">
      <c r="A43" t="inlineStr">
        <is>
          <t>S 770-2025</t>
        </is>
      </c>
      <c r="B43" t="inlineStr">
        <is>
          <t>samrådsanmälan</t>
        </is>
      </c>
      <c r="C43" t="inlineStr">
        <is>
          <t>Askåterföring</t>
        </is>
      </c>
      <c r="D43" s="1" t="n">
        <v>45727</v>
      </c>
      <c r="E43" s="1" t="n">
        <v>46315</v>
      </c>
      <c r="F43" t="inlineStr">
        <is>
          <t>HALLANDS LÄN</t>
        </is>
      </c>
      <c r="G43" t="inlineStr">
        <is>
          <t>LAHOLM</t>
        </is>
      </c>
      <c r="I43" t="n">
        <v>31.1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Armadillidium opacum</t>
        </is>
      </c>
      <c r="W43">
        <f>HYPERLINK("https://klasma.github.io/Logging_1381/artfynd/S 770-2025 artfynd.xlsx", "S 770-2025")</f>
        <v/>
      </c>
      <c r="X43">
        <f>HYPERLINK("https://klasma.github.io/Logging_1381/kartor/S 770-2025 karta.png", "S 770-2025")</f>
        <v/>
      </c>
      <c r="Y43">
        <f>HYPERLINK("https://klasma.github.io/Logging_1381/kartor_geotiff/S 770-2025 georefererad karta.tif", "S 770-2025")</f>
        <v/>
      </c>
      <c r="AA43">
        <f>HYPERLINK("https://klasma.github.io/Logging_1381/klagomål/S 770-2025 FSC-klagomål.docx", "S 770-2025")</f>
        <v/>
      </c>
      <c r="AB43">
        <f>HYPERLINK("https://klasma.github.io/Logging_1381/klagomålsmail/S 770-2025 FSC-klagomål mail.docx", "S 770-2025")</f>
        <v/>
      </c>
      <c r="AC43">
        <f>HYPERLINK("https://klasma.github.io/Logging_1381/tillsyn/S 770-2025 tillsynsbegäran.docx", "S 770-2025")</f>
        <v/>
      </c>
      <c r="AD43">
        <f>HYPERLINK("https://klasma.github.io/Logging_1381/tillsynsmail/S 770-2025 tillsynsbegäran mail.docx", "S 770-2025")</f>
        <v/>
      </c>
    </row>
    <row r="44" ht="15" customHeight="1">
      <c r="A44" t="inlineStr">
        <is>
          <t>S 9701-2021</t>
        </is>
      </c>
      <c r="B44" t="inlineStr">
        <is>
          <t>samrådsanmälan</t>
        </is>
      </c>
      <c r="C44" t="inlineStr">
        <is>
          <t>Annan skogsbruksåtgärd</t>
        </is>
      </c>
      <c r="D44" s="1" t="n">
        <v>44526</v>
      </c>
      <c r="E44" s="1" t="n">
        <v>46315</v>
      </c>
      <c r="F44" t="inlineStr">
        <is>
          <t>HALLANDS LÄN</t>
        </is>
      </c>
      <c r="G44" t="inlineStr">
        <is>
          <t>LAHOLM</t>
        </is>
      </c>
      <c r="I44" t="n">
        <v>2.1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Röd glada</t>
        </is>
      </c>
      <c r="W44">
        <f>HYPERLINK("https://klasma.github.io/Logging_1381/artfynd/S 9701-2021 artfynd.xlsx", "S 9701-2021")</f>
        <v/>
      </c>
      <c r="X44">
        <f>HYPERLINK("https://klasma.github.io/Logging_1381/kartor/S 9701-2021 karta.png", "S 9701-2021")</f>
        <v/>
      </c>
      <c r="Y44">
        <f>HYPERLINK("https://klasma.github.io/Logging_1381/kartor_geotiff/S 9701-2021 georefererad karta.tif", "S 9701-2021")</f>
        <v/>
      </c>
      <c r="AA44">
        <f>HYPERLINK("https://klasma.github.io/Logging_1381/klagomål/S 9701-2021 FSC-klagomål.docx", "S 9701-2021")</f>
        <v/>
      </c>
      <c r="AB44">
        <f>HYPERLINK("https://klasma.github.io/Logging_1381/klagomålsmail/S 9701-2021 FSC-klagomål mail.docx", "S 9701-2021")</f>
        <v/>
      </c>
      <c r="AC44">
        <f>HYPERLINK("https://klasma.github.io/Logging_1381/tillsyn/S 9701-2021 tillsynsbegäran.docx", "S 9701-2021")</f>
        <v/>
      </c>
      <c r="AD44">
        <f>HYPERLINK("https://klasma.github.io/Logging_1381/tillsynsmail/S 9701-2021 tillsynsbegäran mail.docx", "S 9701-2021")</f>
        <v/>
      </c>
      <c r="AE44">
        <f>HYPERLINK("https://klasma.github.io/Logging_1381/fåglar/S 9701-2021 prioriterade fågelarter.docx", "S 9701-2021")</f>
        <v/>
      </c>
    </row>
    <row r="45" ht="15" customHeight="1">
      <c r="A45" t="inlineStr">
        <is>
          <t>S 2301-2025</t>
        </is>
      </c>
      <c r="B45" t="inlineStr">
        <is>
          <t>samrådsanmälan</t>
        </is>
      </c>
      <c r="C45" t="inlineStr">
        <is>
          <t>Askåterföring</t>
        </is>
      </c>
      <c r="D45" s="1" t="n">
        <v>45880</v>
      </c>
      <c r="E45" s="1" t="n">
        <v>46315</v>
      </c>
      <c r="F45" t="inlineStr">
        <is>
          <t>HALLANDS LÄN</t>
        </is>
      </c>
      <c r="G45" t="inlineStr">
        <is>
          <t>LAHOLM</t>
        </is>
      </c>
      <c r="I45" t="n">
        <v>10.5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s="2" t="inlineStr">
        <is>
          <t>Ask</t>
        </is>
      </c>
      <c r="W45">
        <f>HYPERLINK("https://klasma.github.io/Logging_1381/artfynd/S 2301-2025 artfynd.xlsx", "S 2301-2025")</f>
        <v/>
      </c>
      <c r="X45">
        <f>HYPERLINK("https://klasma.github.io/Logging_1381/kartor/S 2301-2025 karta.png", "S 2301-2025")</f>
        <v/>
      </c>
      <c r="Y45">
        <f>HYPERLINK("https://klasma.github.io/Logging_1381/kartor_geotiff/S 2301-2025 georefererad karta.tif", "S 2301-2025")</f>
        <v/>
      </c>
      <c r="AA45">
        <f>HYPERLINK("https://klasma.github.io/Logging_1381/klagomål/S 2301-2025 FSC-klagomål.docx", "S 2301-2025")</f>
        <v/>
      </c>
      <c r="AB45">
        <f>HYPERLINK("https://klasma.github.io/Logging_1381/klagomålsmail/S 2301-2025 FSC-klagomål mail.docx", "S 2301-2025")</f>
        <v/>
      </c>
      <c r="AC45">
        <f>HYPERLINK("https://klasma.github.io/Logging_1381/tillsyn/S 2301-2025 tillsynsbegäran.docx", "S 2301-2025")</f>
        <v/>
      </c>
      <c r="AD45">
        <f>HYPERLINK("https://klasma.github.io/Logging_1381/tillsynsmail/S 2301-2025 tillsynsbegäran mail.docx", "S 2301-2025")</f>
        <v/>
      </c>
    </row>
    <row r="46" ht="15" customHeight="1">
      <c r="A46" t="inlineStr">
        <is>
          <t>S 324-2026</t>
        </is>
      </c>
      <c r="B46" t="inlineStr">
        <is>
          <t>samrådsanmälan</t>
        </is>
      </c>
      <c r="C46" t="inlineStr">
        <is>
          <t>Annan skogsbruksåtgärd</t>
        </is>
      </c>
      <c r="D46" s="1" t="n">
        <v>46062</v>
      </c>
      <c r="E46" s="1" t="n">
        <v>46315</v>
      </c>
      <c r="F46" t="inlineStr">
        <is>
          <t>HALLANDS LÄN</t>
        </is>
      </c>
      <c r="G46" t="inlineStr">
        <is>
          <t>LAHOLM</t>
        </is>
      </c>
      <c r="I46" t="n">
        <v>0.9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Skogsalm</t>
        </is>
      </c>
      <c r="W46">
        <f>HYPERLINK("https://klasma.github.io/Logging_1381/artfynd/S 324-2026 artfynd.xlsx", "S 324-2026")</f>
        <v/>
      </c>
      <c r="X46">
        <f>HYPERLINK("https://klasma.github.io/Logging_1381/kartor/S 324-2026 karta.png", "S 324-2026")</f>
        <v/>
      </c>
      <c r="Y46">
        <f>HYPERLINK("https://klasma.github.io/Logging_1381/kartor_geotiff/S 324-2026 georefererad karta.tif", "S 324-2026")</f>
        <v/>
      </c>
      <c r="AA46">
        <f>HYPERLINK("https://klasma.github.io/Logging_1381/klagomål/S 324-2026 FSC-klagomål.docx", "S 324-2026")</f>
        <v/>
      </c>
      <c r="AB46">
        <f>HYPERLINK("https://klasma.github.io/Logging_1381/klagomålsmail/S 324-2026 FSC-klagomål mail.docx", "S 324-2026")</f>
        <v/>
      </c>
      <c r="AC46">
        <f>HYPERLINK("https://klasma.github.io/Logging_1381/tillsyn/S 324-2026 tillsynsbegäran.docx", "S 324-2026")</f>
        <v/>
      </c>
      <c r="AD46">
        <f>HYPERLINK("https://klasma.github.io/Logging_1381/tillsynsmail/S 324-2026 tillsynsbegäran mail.docx", "S 324-2026")</f>
        <v/>
      </c>
    </row>
    <row r="47" ht="15" customHeight="1">
      <c r="A47" t="inlineStr">
        <is>
          <t>S 1001-2026</t>
        </is>
      </c>
      <c r="B47" t="inlineStr">
        <is>
          <t>samrådsanmälan</t>
        </is>
      </c>
      <c r="C47" t="inlineStr">
        <is>
          <t>Annan skogsbruksåtgärd</t>
        </is>
      </c>
      <c r="D47" s="1" t="n">
        <v>46120</v>
      </c>
      <c r="E47" s="1" t="n">
        <v>46315</v>
      </c>
      <c r="F47" t="inlineStr">
        <is>
          <t>HALLANDS LÄN</t>
        </is>
      </c>
      <c r="G47" t="inlineStr">
        <is>
          <t>LAHOLM</t>
        </is>
      </c>
      <c r="I47" t="n">
        <v>0.5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Öring</t>
        </is>
      </c>
      <c r="W47">
        <f>HYPERLINK("https://klasma.github.io/Logging_1381/artfynd/S 1001-2026 artfynd.xlsx", "S 1001-2026")</f>
        <v/>
      </c>
      <c r="X47">
        <f>HYPERLINK("https://klasma.github.io/Logging_1381/kartor/S 1001-2026 karta.png", "S 1001-2026")</f>
        <v/>
      </c>
      <c r="Y47">
        <f>HYPERLINK("https://klasma.github.io/Logging_1381/kartor_geotiff/S 1001-2026 georefererad karta.tif", "S 1001-2026")</f>
        <v/>
      </c>
      <c r="AA47">
        <f>HYPERLINK("https://klasma.github.io/Logging_1381/klagomål/S 1001-2026 FSC-klagomål.docx", "S 1001-2026")</f>
        <v/>
      </c>
      <c r="AB47">
        <f>HYPERLINK("https://klasma.github.io/Logging_1381/klagomålsmail/S 1001-2026 FSC-klagomål mail.docx", "S 1001-2026")</f>
        <v/>
      </c>
      <c r="AC47">
        <f>HYPERLINK("https://klasma.github.io/Logging_1381/tillsyn/S 1001-2026 tillsynsbegäran.docx", "S 1001-2026")</f>
        <v/>
      </c>
      <c r="AD47">
        <f>HYPERLINK("https://klasma.github.io/Logging_1381/tillsynsmail/S 1001-2026 tillsynsbegäran mail.docx", "S 1001-2026")</f>
        <v/>
      </c>
    </row>
    <row r="48" ht="15" customHeight="1">
      <c r="A48" t="inlineStr">
        <is>
          <t>S 1115-2026</t>
        </is>
      </c>
      <c r="B48" t="inlineStr">
        <is>
          <t>samrådsanmälan</t>
        </is>
      </c>
      <c r="C48" t="inlineStr">
        <is>
          <t>Askåterföring</t>
        </is>
      </c>
      <c r="D48" s="1" t="n">
        <v>46134</v>
      </c>
      <c r="E48" s="1" t="n">
        <v>46315</v>
      </c>
      <c r="F48" t="inlineStr">
        <is>
          <t>HALLANDS LÄN</t>
        </is>
      </c>
      <c r="G48" t="inlineStr">
        <is>
          <t>LAHOLM</t>
        </is>
      </c>
      <c r="I48" t="n">
        <v>20.2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Gröngöling</t>
        </is>
      </c>
      <c r="W48">
        <f>HYPERLINK("https://klasma.github.io/Logging_1381/artfynd/S 1115-2026 artfynd.xlsx", "S 1115-2026")</f>
        <v/>
      </c>
      <c r="X48">
        <f>HYPERLINK("https://klasma.github.io/Logging_1381/kartor/S 1115-2026 karta.png", "S 1115-2026")</f>
        <v/>
      </c>
      <c r="Y48">
        <f>HYPERLINK("https://klasma.github.io/Logging_1381/kartor_geotiff/S 1115-2026 georefererad karta.tif", "S 1115-2026")</f>
        <v/>
      </c>
      <c r="AA48">
        <f>HYPERLINK("https://klasma.github.io/Logging_1381/klagomål/S 1115-2026 FSC-klagomål.docx", "S 1115-2026")</f>
        <v/>
      </c>
      <c r="AB48">
        <f>HYPERLINK("https://klasma.github.io/Logging_1381/klagomålsmail/S 1115-2026 FSC-klagomål mail.docx", "S 1115-2026")</f>
        <v/>
      </c>
      <c r="AC48">
        <f>HYPERLINK("https://klasma.github.io/Logging_1381/tillsyn/S 1115-2026 tillsynsbegäran.docx", "S 1115-2026")</f>
        <v/>
      </c>
      <c r="AD48">
        <f>HYPERLINK("https://klasma.github.io/Logging_1381/tillsynsmail/S 1115-2026 tillsynsbegäran mail.docx", "S 1115-2026")</f>
        <v/>
      </c>
    </row>
    <row r="49" ht="15" customHeight="1">
      <c r="A49" t="inlineStr">
        <is>
          <t>A 28831-2022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44749</v>
      </c>
      <c r="E49" s="1" t="n">
        <v>46315</v>
      </c>
      <c r="F49" t="inlineStr">
        <is>
          <t>HALLANDS LÄN</t>
        </is>
      </c>
      <c r="G49" t="inlineStr">
        <is>
          <t>LAHOLM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15707-2022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44663</v>
      </c>
      <c r="E50" s="1" t="n">
        <v>46315</v>
      </c>
      <c r="F50" t="inlineStr">
        <is>
          <t>HALLANDS LÄN</t>
        </is>
      </c>
      <c r="G50" t="inlineStr">
        <is>
          <t>LAHOLM</t>
        </is>
      </c>
      <c r="I50" t="n">
        <v>9.6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52110-2022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44873</v>
      </c>
      <c r="E51" s="1" t="n">
        <v>46315</v>
      </c>
      <c r="F51" t="inlineStr">
        <is>
          <t>HALLANDS LÄN</t>
        </is>
      </c>
      <c r="G51" t="inlineStr">
        <is>
          <t>LAHOLM</t>
        </is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17395-2022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44678</v>
      </c>
      <c r="E52" s="1" t="n">
        <v>46315</v>
      </c>
      <c r="F52" t="inlineStr">
        <is>
          <t>HALLANDS LÄN</t>
        </is>
      </c>
      <c r="G52" t="inlineStr">
        <is>
          <t>LAHOLM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69587-2021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44532</v>
      </c>
      <c r="E53" s="1" t="n">
        <v>46315</v>
      </c>
      <c r="F53" t="inlineStr">
        <is>
          <t>HALLANDS LÄN</t>
        </is>
      </c>
      <c r="G53" t="inlineStr">
        <is>
          <t>LAHOLM</t>
        </is>
      </c>
      <c r="I53" t="n">
        <v>1.9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66395-2021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44518</v>
      </c>
      <c r="E54" s="1" t="n">
        <v>46315</v>
      </c>
      <c r="F54" t="inlineStr">
        <is>
          <t>HALLANDS LÄN</t>
        </is>
      </c>
      <c r="G54" t="inlineStr">
        <is>
          <t>LAHOLM</t>
        </is>
      </c>
      <c r="I54" t="n">
        <v>2.4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6250-2022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44600</v>
      </c>
      <c r="E55" s="1" t="n">
        <v>46315</v>
      </c>
      <c r="F55" t="inlineStr">
        <is>
          <t>HALLANDS LÄN</t>
        </is>
      </c>
      <c r="G55" t="inlineStr">
        <is>
          <t>LAHOLM</t>
        </is>
      </c>
      <c r="I55" t="n">
        <v>0.4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70611-2021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44537</v>
      </c>
      <c r="E56" s="1" t="n">
        <v>46315</v>
      </c>
      <c r="F56" t="inlineStr">
        <is>
          <t>HALLANDS LÄN</t>
        </is>
      </c>
      <c r="G56" t="inlineStr">
        <is>
          <t>LAHOLM</t>
        </is>
      </c>
      <c r="I56" t="n">
        <v>0.8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73853-2021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44553</v>
      </c>
      <c r="E57" s="1" t="n">
        <v>46315</v>
      </c>
      <c r="F57" t="inlineStr">
        <is>
          <t>HALLANDS LÄN</t>
        </is>
      </c>
      <c r="G57" t="inlineStr">
        <is>
          <t>LAHOLM</t>
        </is>
      </c>
      <c r="I57" t="n">
        <v>0.4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28252-2022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44746</v>
      </c>
      <c r="E58" s="1" t="n">
        <v>46315</v>
      </c>
      <c r="F58" t="inlineStr">
        <is>
          <t>HALLANDS LÄN</t>
        </is>
      </c>
      <c r="G58" t="inlineStr">
        <is>
          <t>LAHOLM</t>
        </is>
      </c>
      <c r="I58" t="n">
        <v>4.7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48700-2022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44859</v>
      </c>
      <c r="E59" s="1" t="n">
        <v>46315</v>
      </c>
      <c r="F59" t="inlineStr">
        <is>
          <t>HALLANDS LÄN</t>
        </is>
      </c>
      <c r="G59" t="inlineStr">
        <is>
          <t>LAHOLM</t>
        </is>
      </c>
      <c r="I59" t="n">
        <v>2.7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70607-2021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44537</v>
      </c>
      <c r="E60" s="1" t="n">
        <v>46315</v>
      </c>
      <c r="F60" t="inlineStr">
        <is>
          <t>HALLANDS LÄN</t>
        </is>
      </c>
      <c r="G60" t="inlineStr">
        <is>
          <t>LAHOLM</t>
        </is>
      </c>
      <c r="I60" t="n">
        <v>1.7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59576-2021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44491</v>
      </c>
      <c r="E61" s="1" t="n">
        <v>46315</v>
      </c>
      <c r="F61" t="inlineStr">
        <is>
          <t>HALLANDS LÄN</t>
        </is>
      </c>
      <c r="G61" t="inlineStr">
        <is>
          <t>LAHOLM</t>
        </is>
      </c>
      <c r="H61" t="inlineStr">
        <is>
          <t>Övriga statliga verk och myndigheter</t>
        </is>
      </c>
      <c r="I61" t="n">
        <v>3.6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6271-2022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44600</v>
      </c>
      <c r="E62" s="1" t="n">
        <v>46315</v>
      </c>
      <c r="F62" t="inlineStr">
        <is>
          <t>HALLANDS LÄN</t>
        </is>
      </c>
      <c r="G62" t="inlineStr">
        <is>
          <t>LAHOLM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28922-2022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44749</v>
      </c>
      <c r="E63" s="1" t="n">
        <v>46315</v>
      </c>
      <c r="F63" t="inlineStr">
        <is>
          <t>HALLANDS LÄN</t>
        </is>
      </c>
      <c r="G63" t="inlineStr">
        <is>
          <t>LAHOLM</t>
        </is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20201-2022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44698</v>
      </c>
      <c r="E64" s="1" t="n">
        <v>46315</v>
      </c>
      <c r="F64" t="inlineStr">
        <is>
          <t>HALLANDS LÄN</t>
        </is>
      </c>
      <c r="G64" t="inlineStr">
        <is>
          <t>LAHOLM</t>
        </is>
      </c>
      <c r="H64" t="inlineStr">
        <is>
          <t>Kyrkan</t>
        </is>
      </c>
      <c r="I64" t="n">
        <v>3.4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20204-2022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44698</v>
      </c>
      <c r="E65" s="1" t="n">
        <v>46315</v>
      </c>
      <c r="F65" t="inlineStr">
        <is>
          <t>HALLANDS LÄN</t>
        </is>
      </c>
      <c r="G65" t="inlineStr">
        <is>
          <t>LAHOLM</t>
        </is>
      </c>
      <c r="H65" t="inlineStr">
        <is>
          <t>Kyrkan</t>
        </is>
      </c>
      <c r="I65" t="n">
        <v>1.3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52106-2022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44873</v>
      </c>
      <c r="E66" s="1" t="n">
        <v>46315</v>
      </c>
      <c r="F66" t="inlineStr">
        <is>
          <t>HALLANDS LÄN</t>
        </is>
      </c>
      <c r="G66" t="inlineStr">
        <is>
          <t>LAHOLM</t>
        </is>
      </c>
      <c r="I66" t="n">
        <v>1.4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52113-2022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44873</v>
      </c>
      <c r="E67" s="1" t="n">
        <v>46315</v>
      </c>
      <c r="F67" t="inlineStr">
        <is>
          <t>HALLANDS LÄN</t>
        </is>
      </c>
      <c r="G67" t="inlineStr">
        <is>
          <t>LAHOLM</t>
        </is>
      </c>
      <c r="I67" t="n">
        <v>1.2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6241-2022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44600</v>
      </c>
      <c r="E68" s="1" t="n">
        <v>46315</v>
      </c>
      <c r="F68" t="inlineStr">
        <is>
          <t>HALLANDS LÄN</t>
        </is>
      </c>
      <c r="G68" t="inlineStr">
        <is>
          <t>LAHOLM</t>
        </is>
      </c>
      <c r="I68" t="n">
        <v>0.7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6244-2022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44600</v>
      </c>
      <c r="E69" s="1" t="n">
        <v>46315</v>
      </c>
      <c r="F69" t="inlineStr">
        <is>
          <t>HALLANDS LÄN</t>
        </is>
      </c>
      <c r="G69" t="inlineStr">
        <is>
          <t>LAHOLM</t>
        </is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24593-2022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44727</v>
      </c>
      <c r="E70" s="1" t="n">
        <v>46315</v>
      </c>
      <c r="F70" t="inlineStr">
        <is>
          <t>HALLANDS LÄN</t>
        </is>
      </c>
      <c r="G70" t="inlineStr">
        <is>
          <t>LAHOLM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64672-2021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44512</v>
      </c>
      <c r="E71" s="1" t="n">
        <v>46315</v>
      </c>
      <c r="F71" t="inlineStr">
        <is>
          <t>HALLANDS LÄN</t>
        </is>
      </c>
      <c r="G71" t="inlineStr">
        <is>
          <t>LAHOLM</t>
        </is>
      </c>
      <c r="I71" t="n">
        <v>1.3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63404-2021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44508</v>
      </c>
      <c r="E72" s="1" t="n">
        <v>46315</v>
      </c>
      <c r="F72" t="inlineStr">
        <is>
          <t>HALLANDS LÄN</t>
        </is>
      </c>
      <c r="G72" t="inlineStr">
        <is>
          <t>LAHOLM</t>
        </is>
      </c>
      <c r="I72" t="n">
        <v>0.9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56664-2024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45625</v>
      </c>
      <c r="E73" s="1" t="n">
        <v>46315</v>
      </c>
      <c r="F73" t="inlineStr">
        <is>
          <t>HALLANDS LÄN</t>
        </is>
      </c>
      <c r="G73" t="inlineStr">
        <is>
          <t>LAHOLM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13086-2025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45734</v>
      </c>
      <c r="E74" s="1" t="n">
        <v>46315</v>
      </c>
      <c r="F74" t="inlineStr">
        <is>
          <t>HALLANDS LÄN</t>
        </is>
      </c>
      <c r="G74" t="inlineStr">
        <is>
          <t>LAHOLM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4766-2025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45688</v>
      </c>
      <c r="E75" s="1" t="n">
        <v>46315</v>
      </c>
      <c r="F75" t="inlineStr">
        <is>
          <t>HALLANDS LÄN</t>
        </is>
      </c>
      <c r="G75" t="inlineStr">
        <is>
          <t>LAHOLM</t>
        </is>
      </c>
      <c r="I75" t="n">
        <v>2.2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4490-2024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45327</v>
      </c>
      <c r="E76" s="1" t="n">
        <v>46315</v>
      </c>
      <c r="F76" t="inlineStr">
        <is>
          <t>HALLANDS LÄN</t>
        </is>
      </c>
      <c r="G76" t="inlineStr">
        <is>
          <t>LAHOLM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49549-2023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45211</v>
      </c>
      <c r="E77" s="1" t="n">
        <v>46315</v>
      </c>
      <c r="F77" t="inlineStr">
        <is>
          <t>HALLANDS LÄN</t>
        </is>
      </c>
      <c r="G77" t="inlineStr">
        <is>
          <t>LAHOLM</t>
        </is>
      </c>
      <c r="I77" t="n">
        <v>3.2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48682-2023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45208</v>
      </c>
      <c r="E78" s="1" t="n">
        <v>46315</v>
      </c>
      <c r="F78" t="inlineStr">
        <is>
          <t>HALLANDS LÄN</t>
        </is>
      </c>
      <c r="G78" t="inlineStr">
        <is>
          <t>LAHOLM</t>
        </is>
      </c>
      <c r="I78" t="n">
        <v>2.4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45855-2023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45195</v>
      </c>
      <c r="E79" s="1" t="n">
        <v>46315</v>
      </c>
      <c r="F79" t="inlineStr">
        <is>
          <t>HALLANDS LÄN</t>
        </is>
      </c>
      <c r="G79" t="inlineStr">
        <is>
          <t>LAHOLM</t>
        </is>
      </c>
      <c r="I79" t="n">
        <v>2.3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53605-2023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45230</v>
      </c>
      <c r="E80" s="1" t="n">
        <v>46315</v>
      </c>
      <c r="F80" t="inlineStr">
        <is>
          <t>HALLANDS LÄN</t>
        </is>
      </c>
      <c r="G80" t="inlineStr">
        <is>
          <t>LAHOLM</t>
        </is>
      </c>
      <c r="I80" t="n">
        <v>1.4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10084-2024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45364</v>
      </c>
      <c r="E81" s="1" t="n">
        <v>46315</v>
      </c>
      <c r="F81" t="inlineStr">
        <is>
          <t>HALLANDS LÄN</t>
        </is>
      </c>
      <c r="G81" t="inlineStr">
        <is>
          <t>LAHOLM</t>
        </is>
      </c>
      <c r="I81" t="n">
        <v>3.4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41573-2022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44827</v>
      </c>
      <c r="E82" s="1" t="n">
        <v>46315</v>
      </c>
      <c r="F82" t="inlineStr">
        <is>
          <t>HALLANDS LÄN</t>
        </is>
      </c>
      <c r="G82" t="inlineStr">
        <is>
          <t>LAHOLM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34050-2023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45135</v>
      </c>
      <c r="E83" s="1" t="n">
        <v>46315</v>
      </c>
      <c r="F83" t="inlineStr">
        <is>
          <t>HALLANDS LÄN</t>
        </is>
      </c>
      <c r="G83" t="inlineStr">
        <is>
          <t>LAHOLM</t>
        </is>
      </c>
      <c r="I83" t="n">
        <v>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31280-2022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44771</v>
      </c>
      <c r="E84" s="1" t="n">
        <v>46315</v>
      </c>
      <c r="F84" t="inlineStr">
        <is>
          <t>HALLANDS LÄN</t>
        </is>
      </c>
      <c r="G84" t="inlineStr">
        <is>
          <t>LAHOLM</t>
        </is>
      </c>
      <c r="I84" t="n">
        <v>1.4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51131-2023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45219</v>
      </c>
      <c r="E85" s="1" t="n">
        <v>46315</v>
      </c>
      <c r="F85" t="inlineStr">
        <is>
          <t>HALLANDS LÄN</t>
        </is>
      </c>
      <c r="G85" t="inlineStr">
        <is>
          <t>LAHOLM</t>
        </is>
      </c>
      <c r="I85" t="n">
        <v>3.6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9694-2024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45362</v>
      </c>
      <c r="E86" s="1" t="n">
        <v>46315</v>
      </c>
      <c r="F86" t="inlineStr">
        <is>
          <t>HALLANDS LÄN</t>
        </is>
      </c>
      <c r="G86" t="inlineStr">
        <is>
          <t>LAHOLM</t>
        </is>
      </c>
      <c r="I86" t="n">
        <v>6.3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37725-2022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44810</v>
      </c>
      <c r="E87" s="1" t="n">
        <v>46315</v>
      </c>
      <c r="F87" t="inlineStr">
        <is>
          <t>HALLANDS LÄN</t>
        </is>
      </c>
      <c r="G87" t="inlineStr">
        <is>
          <t>LAHOLM</t>
        </is>
      </c>
      <c r="I87" t="n">
        <v>3.7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37705-2022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44810</v>
      </c>
      <c r="E88" s="1" t="n">
        <v>46315</v>
      </c>
      <c r="F88" t="inlineStr">
        <is>
          <t>HALLANDS LÄN</t>
        </is>
      </c>
      <c r="G88" t="inlineStr">
        <is>
          <t>LAHOLM</t>
        </is>
      </c>
      <c r="I88" t="n">
        <v>1.8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58361-2022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44901</v>
      </c>
      <c r="E89" s="1" t="n">
        <v>46315</v>
      </c>
      <c r="F89" t="inlineStr">
        <is>
          <t>HALLANDS LÄN</t>
        </is>
      </c>
      <c r="G89" t="inlineStr">
        <is>
          <t>LAHOLM</t>
        </is>
      </c>
      <c r="I89" t="n">
        <v>2.4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31940-2023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45119</v>
      </c>
      <c r="E90" s="1" t="n">
        <v>46315</v>
      </c>
      <c r="F90" t="inlineStr">
        <is>
          <t>HALLANDS LÄN</t>
        </is>
      </c>
      <c r="G90" t="inlineStr">
        <is>
          <t>LAHOLM</t>
        </is>
      </c>
      <c r="I90" t="n">
        <v>1.4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55704-2023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45239</v>
      </c>
      <c r="E91" s="1" t="n">
        <v>46315</v>
      </c>
      <c r="F91" t="inlineStr">
        <is>
          <t>HALLANDS LÄN</t>
        </is>
      </c>
      <c r="G91" t="inlineStr">
        <is>
          <t>LAHOLM</t>
        </is>
      </c>
      <c r="I91" t="n">
        <v>1.4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55724-2023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45239</v>
      </c>
      <c r="E92" s="1" t="n">
        <v>46315</v>
      </c>
      <c r="F92" t="inlineStr">
        <is>
          <t>HALLANDS LÄN</t>
        </is>
      </c>
      <c r="G92" t="inlineStr">
        <is>
          <t>LAHOLM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51515-2022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44869</v>
      </c>
      <c r="E93" s="1" t="n">
        <v>46315</v>
      </c>
      <c r="F93" t="inlineStr">
        <is>
          <t>HALLANDS LÄN</t>
        </is>
      </c>
      <c r="G93" t="inlineStr">
        <is>
          <t>LAHOLM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51517-2022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44869</v>
      </c>
      <c r="E94" s="1" t="n">
        <v>46315</v>
      </c>
      <c r="F94" t="inlineStr">
        <is>
          <t>HALLANDS LÄN</t>
        </is>
      </c>
      <c r="G94" t="inlineStr">
        <is>
          <t>LAHOLM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62134-2022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44922</v>
      </c>
      <c r="E95" s="1" t="n">
        <v>46315</v>
      </c>
      <c r="F95" t="inlineStr">
        <is>
          <t>HALLANDS LÄN</t>
        </is>
      </c>
      <c r="G95" t="inlineStr">
        <is>
          <t>LAHOLM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264-2023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44928</v>
      </c>
      <c r="E96" s="1" t="n">
        <v>46315</v>
      </c>
      <c r="F96" t="inlineStr">
        <is>
          <t>HALLANDS LÄN</t>
        </is>
      </c>
      <c r="G96" t="inlineStr">
        <is>
          <t>LAHOLM</t>
        </is>
      </c>
      <c r="I96" t="n">
        <v>6.5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6200-2024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45337</v>
      </c>
      <c r="E97" s="1" t="n">
        <v>46315</v>
      </c>
      <c r="F97" t="inlineStr">
        <is>
          <t>HALLANDS LÄN</t>
        </is>
      </c>
      <c r="G97" t="inlineStr">
        <is>
          <t>LAHOLM</t>
        </is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15642-2023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45020</v>
      </c>
      <c r="E98" s="1" t="n">
        <v>46315</v>
      </c>
      <c r="F98" t="inlineStr">
        <is>
          <t>HALLANDS LÄN</t>
        </is>
      </c>
      <c r="G98" t="inlineStr">
        <is>
          <t>LAHOLM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64566-2021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44511</v>
      </c>
      <c r="E99" s="1" t="n">
        <v>46315</v>
      </c>
      <c r="F99" t="inlineStr">
        <is>
          <t>HALLANDS LÄN</t>
        </is>
      </c>
      <c r="G99" t="inlineStr">
        <is>
          <t>LAHOLM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64575-2021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44511</v>
      </c>
      <c r="E100" s="1" t="n">
        <v>46315</v>
      </c>
      <c r="F100" t="inlineStr">
        <is>
          <t>HALLANDS LÄN</t>
        </is>
      </c>
      <c r="G100" t="inlineStr">
        <is>
          <t>LAHOLM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47937-2022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44855</v>
      </c>
      <c r="E101" s="1" t="n">
        <v>46315</v>
      </c>
      <c r="F101" t="inlineStr">
        <is>
          <t>HALLANDS LÄN</t>
        </is>
      </c>
      <c r="G101" t="inlineStr">
        <is>
          <t>LAHOLM</t>
        </is>
      </c>
      <c r="I101" t="n">
        <v>1.8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29361-2024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45483</v>
      </c>
      <c r="E102" s="1" t="n">
        <v>46315</v>
      </c>
      <c r="F102" t="inlineStr">
        <is>
          <t>HALLANDS LÄN</t>
        </is>
      </c>
      <c r="G102" t="inlineStr">
        <is>
          <t>LAHOLM</t>
        </is>
      </c>
      <c r="I102" t="n">
        <v>6.8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52131-2022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44873</v>
      </c>
      <c r="E103" s="1" t="n">
        <v>46315</v>
      </c>
      <c r="F103" t="inlineStr">
        <is>
          <t>HALLANDS LÄN</t>
        </is>
      </c>
      <c r="G103" t="inlineStr">
        <is>
          <t>LAHOLM</t>
        </is>
      </c>
      <c r="I103" t="n">
        <v>3.1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7783-2024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45349</v>
      </c>
      <c r="E104" s="1" t="n">
        <v>46315</v>
      </c>
      <c r="F104" t="inlineStr">
        <is>
          <t>HALLANDS LÄN</t>
        </is>
      </c>
      <c r="G104" t="inlineStr">
        <is>
          <t>LAHOLM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38929-2024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45548</v>
      </c>
      <c r="E105" s="1" t="n">
        <v>46315</v>
      </c>
      <c r="F105" t="inlineStr">
        <is>
          <t>HALLANDS LÄN</t>
        </is>
      </c>
      <c r="G105" t="inlineStr">
        <is>
          <t>LAHOLM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39930-2024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45553</v>
      </c>
      <c r="E106" s="1" t="n">
        <v>46315</v>
      </c>
      <c r="F106" t="inlineStr">
        <is>
          <t>HALLANDS LÄN</t>
        </is>
      </c>
      <c r="G106" t="inlineStr">
        <is>
          <t>LAHOLM</t>
        </is>
      </c>
      <c r="I106" t="n">
        <v>0.9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12586-2022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44639</v>
      </c>
      <c r="E107" s="1" t="n">
        <v>46315</v>
      </c>
      <c r="F107" t="inlineStr">
        <is>
          <t>HALLANDS LÄN</t>
        </is>
      </c>
      <c r="G107" t="inlineStr">
        <is>
          <t>LAHOLM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61785-2021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44501</v>
      </c>
      <c r="E108" s="1" t="n">
        <v>46315</v>
      </c>
      <c r="F108" t="inlineStr">
        <is>
          <t>HALLANDS LÄN</t>
        </is>
      </c>
      <c r="G108" t="inlineStr">
        <is>
          <t>LAHOLM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33419-2024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45519</v>
      </c>
      <c r="E109" s="1" t="n">
        <v>46315</v>
      </c>
      <c r="F109" t="inlineStr">
        <is>
          <t>HALLANDS LÄN</t>
        </is>
      </c>
      <c r="G109" t="inlineStr">
        <is>
          <t>LAHOLM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51015-2024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45603</v>
      </c>
      <c r="E110" s="1" t="n">
        <v>46315</v>
      </c>
      <c r="F110" t="inlineStr">
        <is>
          <t>HALLANDS LÄN</t>
        </is>
      </c>
      <c r="G110" t="inlineStr">
        <is>
          <t>LAHOLM</t>
        </is>
      </c>
      <c r="I110" t="n">
        <v>1.3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51022-2024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45603</v>
      </c>
      <c r="E111" s="1" t="n">
        <v>46315</v>
      </c>
      <c r="F111" t="inlineStr">
        <is>
          <t>HALLANDS LÄN</t>
        </is>
      </c>
      <c r="G111" t="inlineStr">
        <is>
          <t>LAHOLM</t>
        </is>
      </c>
      <c r="I111" t="n">
        <v>3.5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6411-2022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44600</v>
      </c>
      <c r="E112" s="1" t="n">
        <v>46315</v>
      </c>
      <c r="F112" t="inlineStr">
        <is>
          <t>HALLANDS LÄN</t>
        </is>
      </c>
      <c r="G112" t="inlineStr">
        <is>
          <t>LAHOLM</t>
        </is>
      </c>
      <c r="I112" t="n">
        <v>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3469-2024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45320</v>
      </c>
      <c r="E113" s="1" t="n">
        <v>46315</v>
      </c>
      <c r="F113" t="inlineStr">
        <is>
          <t>HALLANDS LÄN</t>
        </is>
      </c>
      <c r="G113" t="inlineStr">
        <is>
          <t>LAHOLM</t>
        </is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46569-2024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45582</v>
      </c>
      <c r="E114" s="1" t="n">
        <v>46315</v>
      </c>
      <c r="F114" t="inlineStr">
        <is>
          <t>HALLANDS LÄN</t>
        </is>
      </c>
      <c r="G114" t="inlineStr">
        <is>
          <t>LAHOLM</t>
        </is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2548-2023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44943</v>
      </c>
      <c r="E115" s="1" t="n">
        <v>46315</v>
      </c>
      <c r="F115" t="inlineStr">
        <is>
          <t>HALLANDS LÄN</t>
        </is>
      </c>
      <c r="G115" t="inlineStr">
        <is>
          <t>LAHOLM</t>
        </is>
      </c>
      <c r="H115" t="inlineStr">
        <is>
          <t>Kommuner</t>
        </is>
      </c>
      <c r="I115" t="n">
        <v>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1302-2022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44572</v>
      </c>
      <c r="E116" s="1" t="n">
        <v>46315</v>
      </c>
      <c r="F116" t="inlineStr">
        <is>
          <t>HALLANDS LÄN</t>
        </is>
      </c>
      <c r="G116" t="inlineStr">
        <is>
          <t>LAHOLM</t>
        </is>
      </c>
      <c r="I116" t="n">
        <v>4.1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47938-2024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45589</v>
      </c>
      <c r="E117" s="1" t="n">
        <v>46315</v>
      </c>
      <c r="F117" t="inlineStr">
        <is>
          <t>HALLANDS LÄN</t>
        </is>
      </c>
      <c r="G117" t="inlineStr">
        <is>
          <t>LAHOLM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47587-2024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45587</v>
      </c>
      <c r="E118" s="1" t="n">
        <v>46315</v>
      </c>
      <c r="F118" t="inlineStr">
        <is>
          <t>HALLANDS LÄN</t>
        </is>
      </c>
      <c r="G118" t="inlineStr">
        <is>
          <t>LAHOLM</t>
        </is>
      </c>
      <c r="I118" t="n">
        <v>0.6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25592-2023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45089</v>
      </c>
      <c r="E119" s="1" t="n">
        <v>46315</v>
      </c>
      <c r="F119" t="inlineStr">
        <is>
          <t>HALLANDS LÄN</t>
        </is>
      </c>
      <c r="G119" t="inlineStr">
        <is>
          <t>LAHOLM</t>
        </is>
      </c>
      <c r="H119" t="inlineStr">
        <is>
          <t>Sveaskog</t>
        </is>
      </c>
      <c r="I119" t="n">
        <v>1.2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13504-2023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45006</v>
      </c>
      <c r="E120" s="1" t="n">
        <v>46315</v>
      </c>
      <c r="F120" t="inlineStr">
        <is>
          <t>HALLANDS LÄN</t>
        </is>
      </c>
      <c r="G120" t="inlineStr">
        <is>
          <t>LAHOLM</t>
        </is>
      </c>
      <c r="I120" t="n">
        <v>1.2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13505-2023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45006</v>
      </c>
      <c r="E121" s="1" t="n">
        <v>46315</v>
      </c>
      <c r="F121" t="inlineStr">
        <is>
          <t>HALLANDS LÄN</t>
        </is>
      </c>
      <c r="G121" t="inlineStr">
        <is>
          <t>LAHOLM</t>
        </is>
      </c>
      <c r="I121" t="n">
        <v>1.4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12001-2024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45377</v>
      </c>
      <c r="E122" s="1" t="n">
        <v>46315</v>
      </c>
      <c r="F122" t="inlineStr">
        <is>
          <t>HALLANDS LÄN</t>
        </is>
      </c>
      <c r="G122" t="inlineStr">
        <is>
          <t>LAHOLM</t>
        </is>
      </c>
      <c r="I122" t="n">
        <v>0.9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10089-2024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45364</v>
      </c>
      <c r="E123" s="1" t="n">
        <v>46315</v>
      </c>
      <c r="F123" t="inlineStr">
        <is>
          <t>HALLANDS LÄN</t>
        </is>
      </c>
      <c r="G123" t="inlineStr">
        <is>
          <t>LAHOLM</t>
        </is>
      </c>
      <c r="I123" t="n">
        <v>1.5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42562-2022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44831</v>
      </c>
      <c r="E124" s="1" t="n">
        <v>46315</v>
      </c>
      <c r="F124" t="inlineStr">
        <is>
          <t>HALLANDS LÄN</t>
        </is>
      </c>
      <c r="G124" t="inlineStr">
        <is>
          <t>LAHOLM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57135-2022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44895</v>
      </c>
      <c r="E125" s="1" t="n">
        <v>46315</v>
      </c>
      <c r="F125" t="inlineStr">
        <is>
          <t>HALLANDS LÄN</t>
        </is>
      </c>
      <c r="G125" t="inlineStr">
        <is>
          <t>LAHOLM</t>
        </is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56903-2024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45628</v>
      </c>
      <c r="E126" s="1" t="n">
        <v>46315</v>
      </c>
      <c r="F126" t="inlineStr">
        <is>
          <t>HALLANDS LÄN</t>
        </is>
      </c>
      <c r="G126" t="inlineStr">
        <is>
          <t>LAHOLM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59999-2022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44909</v>
      </c>
      <c r="E127" s="1" t="n">
        <v>46315</v>
      </c>
      <c r="F127" t="inlineStr">
        <is>
          <t>HALLANDS LÄN</t>
        </is>
      </c>
      <c r="G127" t="inlineStr">
        <is>
          <t>LAHOLM</t>
        </is>
      </c>
      <c r="I127" t="n">
        <v>2.6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64922-2023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45282</v>
      </c>
      <c r="E128" s="1" t="n">
        <v>46315</v>
      </c>
      <c r="F128" t="inlineStr">
        <is>
          <t>HALLANDS LÄN</t>
        </is>
      </c>
      <c r="G128" t="inlineStr">
        <is>
          <t>LAHOLM</t>
        </is>
      </c>
      <c r="H128" t="inlineStr">
        <is>
          <t>Övriga Aktiebolag</t>
        </is>
      </c>
      <c r="I128" t="n">
        <v>1.6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15640-2023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45020</v>
      </c>
      <c r="E129" s="1" t="n">
        <v>46315</v>
      </c>
      <c r="F129" t="inlineStr">
        <is>
          <t>HALLANDS LÄN</t>
        </is>
      </c>
      <c r="G129" t="inlineStr">
        <is>
          <t>LAHOLM</t>
        </is>
      </c>
      <c r="I129" t="n">
        <v>2.9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3407-2025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45680</v>
      </c>
      <c r="E130" s="1" t="n">
        <v>46315</v>
      </c>
      <c r="F130" t="inlineStr">
        <is>
          <t>HALLANDS LÄN</t>
        </is>
      </c>
      <c r="G130" t="inlineStr">
        <is>
          <t>LAHOLM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13052-2023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45002</v>
      </c>
      <c r="E131" s="1" t="n">
        <v>46315</v>
      </c>
      <c r="F131" t="inlineStr">
        <is>
          <t>HALLANDS LÄN</t>
        </is>
      </c>
      <c r="G131" t="inlineStr">
        <is>
          <t>LAHOLM</t>
        </is>
      </c>
      <c r="I131" t="n">
        <v>1.7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61493-2024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45646</v>
      </c>
      <c r="E132" s="1" t="n">
        <v>46315</v>
      </c>
      <c r="F132" t="inlineStr">
        <is>
          <t>HALLANDS LÄN</t>
        </is>
      </c>
      <c r="G132" t="inlineStr">
        <is>
          <t>LAHOLM</t>
        </is>
      </c>
      <c r="I132" t="n">
        <v>0.4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27303-2025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45812</v>
      </c>
      <c r="E133" s="1" t="n">
        <v>46315</v>
      </c>
      <c r="F133" t="inlineStr">
        <is>
          <t>HALLANDS LÄN</t>
        </is>
      </c>
      <c r="G133" t="inlineStr">
        <is>
          <t>LAHOLM</t>
        </is>
      </c>
      <c r="I133" t="n">
        <v>1.1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46567-2024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45582</v>
      </c>
      <c r="E134" s="1" t="n">
        <v>46315</v>
      </c>
      <c r="F134" t="inlineStr">
        <is>
          <t>HALLANDS LÄN</t>
        </is>
      </c>
      <c r="G134" t="inlineStr">
        <is>
          <t>LAHOLM</t>
        </is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28129-2025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45818</v>
      </c>
      <c r="E135" s="1" t="n">
        <v>46315</v>
      </c>
      <c r="F135" t="inlineStr">
        <is>
          <t>HALLANDS LÄN</t>
        </is>
      </c>
      <c r="G135" t="inlineStr">
        <is>
          <t>LAHOLM</t>
        </is>
      </c>
      <c r="I135" t="n">
        <v>1.2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17097-2022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44677</v>
      </c>
      <c r="E136" s="1" t="n">
        <v>46315</v>
      </c>
      <c r="F136" t="inlineStr">
        <is>
          <t>HALLANDS LÄN</t>
        </is>
      </c>
      <c r="G136" t="inlineStr">
        <is>
          <t>LAHOLM</t>
        </is>
      </c>
      <c r="I136" t="n">
        <v>1.4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23491-2023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45076</v>
      </c>
      <c r="E137" s="1" t="n">
        <v>46315</v>
      </c>
      <c r="F137" t="inlineStr">
        <is>
          <t>HALLANDS LÄN</t>
        </is>
      </c>
      <c r="G137" t="inlineStr">
        <is>
          <t>LAHOLM</t>
        </is>
      </c>
      <c r="I137" t="n">
        <v>1.3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5667-2025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45693</v>
      </c>
      <c r="E138" s="1" t="n">
        <v>46315</v>
      </c>
      <c r="F138" t="inlineStr">
        <is>
          <t>HALLANDS LÄN</t>
        </is>
      </c>
      <c r="G138" t="inlineStr">
        <is>
          <t>LAHOLM</t>
        </is>
      </c>
      <c r="H138" t="inlineStr">
        <is>
          <t>Naturvårdsverket</t>
        </is>
      </c>
      <c r="I138" t="n">
        <v>2.5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8036-2025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45707</v>
      </c>
      <c r="E139" s="1" t="n">
        <v>46315</v>
      </c>
      <c r="F139" t="inlineStr">
        <is>
          <t>HALLANDS LÄN</t>
        </is>
      </c>
      <c r="G139" t="inlineStr">
        <is>
          <t>LAHOLM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60705-2024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45644</v>
      </c>
      <c r="E140" s="1" t="n">
        <v>46315</v>
      </c>
      <c r="F140" t="inlineStr">
        <is>
          <t>HALLANDS LÄN</t>
        </is>
      </c>
      <c r="G140" t="inlineStr">
        <is>
          <t>LAHOLM</t>
        </is>
      </c>
      <c r="I140" t="n">
        <v>5.6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45732-2022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44846</v>
      </c>
      <c r="E141" s="1" t="n">
        <v>46315</v>
      </c>
      <c r="F141" t="inlineStr">
        <is>
          <t>HALLANDS LÄN</t>
        </is>
      </c>
      <c r="G141" t="inlineStr">
        <is>
          <t>LAHOLM</t>
        </is>
      </c>
      <c r="I141" t="n">
        <v>1.3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37972-2024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45544</v>
      </c>
      <c r="E142" s="1" t="n">
        <v>46315</v>
      </c>
      <c r="F142" t="inlineStr">
        <is>
          <t>HALLANDS LÄN</t>
        </is>
      </c>
      <c r="G142" t="inlineStr">
        <is>
          <t>LAHOLM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42403-2025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45905</v>
      </c>
      <c r="E143" s="1" t="n">
        <v>46315</v>
      </c>
      <c r="F143" t="inlineStr">
        <is>
          <t>HALLANDS LÄN</t>
        </is>
      </c>
      <c r="G143" t="inlineStr">
        <is>
          <t>LAHOLM</t>
        </is>
      </c>
      <c r="I143" t="n">
        <v>1.3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42392-2025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45905</v>
      </c>
      <c r="E144" s="1" t="n">
        <v>46315</v>
      </c>
      <c r="F144" t="inlineStr">
        <is>
          <t>HALLANDS LÄN</t>
        </is>
      </c>
      <c r="G144" t="inlineStr">
        <is>
          <t>LAHOLM</t>
        </is>
      </c>
      <c r="I144" t="n">
        <v>2.5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42397-2025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45905</v>
      </c>
      <c r="E145" s="1" t="n">
        <v>46315</v>
      </c>
      <c r="F145" t="inlineStr">
        <is>
          <t>HALLANDS LÄN</t>
        </is>
      </c>
      <c r="G145" t="inlineStr">
        <is>
          <t>LAHOLM</t>
        </is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6677-2025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45700</v>
      </c>
      <c r="E146" s="1" t="n">
        <v>46315</v>
      </c>
      <c r="F146" t="inlineStr">
        <is>
          <t>HALLANDS LÄN</t>
        </is>
      </c>
      <c r="G146" t="inlineStr">
        <is>
          <t>LAHOLM</t>
        </is>
      </c>
      <c r="I146" t="n">
        <v>1.4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11701-2025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45727</v>
      </c>
      <c r="E147" s="1" t="n">
        <v>46315</v>
      </c>
      <c r="F147" t="inlineStr">
        <is>
          <t>HALLANDS LÄN</t>
        </is>
      </c>
      <c r="G147" t="inlineStr">
        <is>
          <t>LAHOLM</t>
        </is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44931-2025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45918</v>
      </c>
      <c r="E148" s="1" t="n">
        <v>46315</v>
      </c>
      <c r="F148" t="inlineStr">
        <is>
          <t>HALLANDS LÄN</t>
        </is>
      </c>
      <c r="G148" t="inlineStr">
        <is>
          <t>LAHOLM</t>
        </is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44945-2025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45918</v>
      </c>
      <c r="E149" s="1" t="n">
        <v>46315</v>
      </c>
      <c r="F149" t="inlineStr">
        <is>
          <t>HALLANDS LÄN</t>
        </is>
      </c>
      <c r="G149" t="inlineStr">
        <is>
          <t>LAHOLM</t>
        </is>
      </c>
      <c r="I149" t="n">
        <v>5.5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13528-2023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45006</v>
      </c>
      <c r="E150" s="1" t="n">
        <v>46315</v>
      </c>
      <c r="F150" t="inlineStr">
        <is>
          <t>HALLANDS LÄN</t>
        </is>
      </c>
      <c r="G150" t="inlineStr">
        <is>
          <t>LAHOLM</t>
        </is>
      </c>
      <c r="I150" t="n">
        <v>3.7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44261-2023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45188</v>
      </c>
      <c r="E151" s="1" t="n">
        <v>46315</v>
      </c>
      <c r="F151" t="inlineStr">
        <is>
          <t>HALLANDS LÄN</t>
        </is>
      </c>
      <c r="G151" t="inlineStr">
        <is>
          <t>LAHOLM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46655-2023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45195</v>
      </c>
      <c r="E152" s="1" t="n">
        <v>46315</v>
      </c>
      <c r="F152" t="inlineStr">
        <is>
          <t>HALLANDS LÄN</t>
        </is>
      </c>
      <c r="G152" t="inlineStr">
        <is>
          <t>LAHOLM</t>
        </is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4607-2025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45687</v>
      </c>
      <c r="E153" s="1" t="n">
        <v>46315</v>
      </c>
      <c r="F153" t="inlineStr">
        <is>
          <t>HALLANDS LÄN</t>
        </is>
      </c>
      <c r="G153" t="inlineStr">
        <is>
          <t>LAHOLM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60152-2022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44902</v>
      </c>
      <c r="E154" s="1" t="n">
        <v>46315</v>
      </c>
      <c r="F154" t="inlineStr">
        <is>
          <t>HALLANDS LÄN</t>
        </is>
      </c>
      <c r="G154" t="inlineStr">
        <is>
          <t>LAHOLM</t>
        </is>
      </c>
      <c r="I154" t="n">
        <v>7.8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615-2024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45299</v>
      </c>
      <c r="E155" s="1" t="n">
        <v>46315</v>
      </c>
      <c r="F155" t="inlineStr">
        <is>
          <t>HALLANDS LÄN</t>
        </is>
      </c>
      <c r="G155" t="inlineStr">
        <is>
          <t>LAHOLM</t>
        </is>
      </c>
      <c r="I155" t="n">
        <v>7.2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31908-2025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45834</v>
      </c>
      <c r="E156" s="1" t="n">
        <v>46315</v>
      </c>
      <c r="F156" t="inlineStr">
        <is>
          <t>HALLANDS LÄN</t>
        </is>
      </c>
      <c r="G156" t="inlineStr">
        <is>
          <t>LAHOLM</t>
        </is>
      </c>
      <c r="H156" t="inlineStr">
        <is>
          <t>Sveaskog</t>
        </is>
      </c>
      <c r="I156" t="n">
        <v>0.9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20903-2026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46142</v>
      </c>
      <c r="E157" s="1" t="n">
        <v>46315</v>
      </c>
      <c r="F157" t="inlineStr">
        <is>
          <t>HALLANDS LÄN</t>
        </is>
      </c>
      <c r="G157" t="inlineStr">
        <is>
          <t>LAHOLM</t>
        </is>
      </c>
      <c r="I157" t="n">
        <v>3.7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7019-2022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44603</v>
      </c>
      <c r="E158" s="1" t="n">
        <v>46315</v>
      </c>
      <c r="F158" t="inlineStr">
        <is>
          <t>HALLANDS LÄN</t>
        </is>
      </c>
      <c r="G158" t="inlineStr">
        <is>
          <t>LAHOLM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27607-2024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45474</v>
      </c>
      <c r="E159" s="1" t="n">
        <v>46315</v>
      </c>
      <c r="F159" t="inlineStr">
        <is>
          <t>HALLANDS LÄN</t>
        </is>
      </c>
      <c r="G159" t="inlineStr">
        <is>
          <t>LAHOLM</t>
        </is>
      </c>
      <c r="I159" t="n">
        <v>1.3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59119-2023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45253</v>
      </c>
      <c r="E160" s="1" t="n">
        <v>46315</v>
      </c>
      <c r="F160" t="inlineStr">
        <is>
          <t>HALLANDS LÄN</t>
        </is>
      </c>
      <c r="G160" t="inlineStr">
        <is>
          <t>LAHOLM</t>
        </is>
      </c>
      <c r="I160" t="n">
        <v>2.6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12923-2024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45385</v>
      </c>
      <c r="E161" s="1" t="n">
        <v>46315</v>
      </c>
      <c r="F161" t="inlineStr">
        <is>
          <t>HALLANDS LÄN</t>
        </is>
      </c>
      <c r="G161" t="inlineStr">
        <is>
          <t>LAHOLM</t>
        </is>
      </c>
      <c r="I161" t="n">
        <v>5.7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63795-2023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45278</v>
      </c>
      <c r="E162" s="1" t="n">
        <v>46315</v>
      </c>
      <c r="F162" t="inlineStr">
        <is>
          <t>HALLANDS LÄN</t>
        </is>
      </c>
      <c r="G162" t="inlineStr">
        <is>
          <t>LAHOLM</t>
        </is>
      </c>
      <c r="I162" t="n">
        <v>5.9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6753-2024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45342</v>
      </c>
      <c r="E163" s="1" t="n">
        <v>46315</v>
      </c>
      <c r="F163" t="inlineStr">
        <is>
          <t>HALLANDS LÄN</t>
        </is>
      </c>
      <c r="G163" t="inlineStr">
        <is>
          <t>LAHOLM</t>
        </is>
      </c>
      <c r="I163" t="n">
        <v>1.1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6754-2024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45342</v>
      </c>
      <c r="E164" s="1" t="n">
        <v>46315</v>
      </c>
      <c r="F164" t="inlineStr">
        <is>
          <t>HALLANDS LÄN</t>
        </is>
      </c>
      <c r="G164" t="inlineStr">
        <is>
          <t>LAHOLM</t>
        </is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21945-2026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46151</v>
      </c>
      <c r="E165" s="1" t="n">
        <v>46315</v>
      </c>
      <c r="F165" t="inlineStr">
        <is>
          <t>HALLANDS LÄN</t>
        </is>
      </c>
      <c r="G165" t="inlineStr">
        <is>
          <t>LAHOLM</t>
        </is>
      </c>
      <c r="I165" t="n">
        <v>1.7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22584-2023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45071</v>
      </c>
      <c r="E166" s="1" t="n">
        <v>46315</v>
      </c>
      <c r="F166" t="inlineStr">
        <is>
          <t>HALLANDS LÄN</t>
        </is>
      </c>
      <c r="G166" t="inlineStr">
        <is>
          <t>LAHOLM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53414-2025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45959</v>
      </c>
      <c r="E167" s="1" t="n">
        <v>46315</v>
      </c>
      <c r="F167" t="inlineStr">
        <is>
          <t>HALLANDS LÄN</t>
        </is>
      </c>
      <c r="G167" t="inlineStr">
        <is>
          <t>LAHOLM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3446-2023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44949</v>
      </c>
      <c r="E168" s="1" t="n">
        <v>46315</v>
      </c>
      <c r="F168" t="inlineStr">
        <is>
          <t>HALLANDS LÄN</t>
        </is>
      </c>
      <c r="G168" t="inlineStr">
        <is>
          <t>LAHOLM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920-2026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46030</v>
      </c>
      <c r="E169" s="1" t="n">
        <v>46315</v>
      </c>
      <c r="F169" t="inlineStr">
        <is>
          <t>HALLANDS LÄN</t>
        </is>
      </c>
      <c r="G169" t="inlineStr">
        <is>
          <t>LAHOLM</t>
        </is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22158-2023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45069</v>
      </c>
      <c r="E170" s="1" t="n">
        <v>46315</v>
      </c>
      <c r="F170" t="inlineStr">
        <is>
          <t>HALLANDS LÄN</t>
        </is>
      </c>
      <c r="G170" t="inlineStr">
        <is>
          <t>LAHOLM</t>
        </is>
      </c>
      <c r="I170" t="n">
        <v>1.6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54371-2025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45965</v>
      </c>
      <c r="E171" s="1" t="n">
        <v>46315</v>
      </c>
      <c r="F171" t="inlineStr">
        <is>
          <t>HALLANDS LÄN</t>
        </is>
      </c>
      <c r="G171" t="inlineStr">
        <is>
          <t>LAHOLM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34473-2023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45139</v>
      </c>
      <c r="E172" s="1" t="n">
        <v>46315</v>
      </c>
      <c r="F172" t="inlineStr">
        <is>
          <t>HALLANDS LÄN</t>
        </is>
      </c>
      <c r="G172" t="inlineStr">
        <is>
          <t>LAHOLM</t>
        </is>
      </c>
      <c r="I172" t="n">
        <v>1.4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55312-2023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45237</v>
      </c>
      <c r="E173" s="1" t="n">
        <v>46315</v>
      </c>
      <c r="F173" t="inlineStr">
        <is>
          <t>HALLANDS LÄN</t>
        </is>
      </c>
      <c r="G173" t="inlineStr">
        <is>
          <t>LAHOLM</t>
        </is>
      </c>
      <c r="I173" t="n">
        <v>1.1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59429-2021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44491</v>
      </c>
      <c r="E174" s="1" t="n">
        <v>46315</v>
      </c>
      <c r="F174" t="inlineStr">
        <is>
          <t>HALLANDS LÄN</t>
        </is>
      </c>
      <c r="G174" t="inlineStr">
        <is>
          <t>LAHOLM</t>
        </is>
      </c>
      <c r="I174" t="n">
        <v>1.9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55354-2025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45971</v>
      </c>
      <c r="E175" s="1" t="n">
        <v>46315</v>
      </c>
      <c r="F175" t="inlineStr">
        <is>
          <t>HALLANDS LÄN</t>
        </is>
      </c>
      <c r="G175" t="inlineStr">
        <is>
          <t>LAHOLM</t>
        </is>
      </c>
      <c r="I175" t="n">
        <v>1.8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55352-2025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45971</v>
      </c>
      <c r="E176" s="1" t="n">
        <v>46315</v>
      </c>
      <c r="F176" t="inlineStr">
        <is>
          <t>HALLANDS LÄN</t>
        </is>
      </c>
      <c r="G176" t="inlineStr">
        <is>
          <t>LAHOLM</t>
        </is>
      </c>
      <c r="I176" t="n">
        <v>4.5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3427-2023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44949</v>
      </c>
      <c r="E177" s="1" t="n">
        <v>46315</v>
      </c>
      <c r="F177" t="inlineStr">
        <is>
          <t>HALLANDS LÄN</t>
        </is>
      </c>
      <c r="G177" t="inlineStr">
        <is>
          <t>LAHOLM</t>
        </is>
      </c>
      <c r="I177" t="n">
        <v>1.6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56093-2025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45973</v>
      </c>
      <c r="E178" s="1" t="n">
        <v>46315</v>
      </c>
      <c r="F178" t="inlineStr">
        <is>
          <t>HALLANDS LÄN</t>
        </is>
      </c>
      <c r="G178" t="inlineStr">
        <is>
          <t>LAHOLM</t>
        </is>
      </c>
      <c r="I178" t="n">
        <v>2.2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56100-2025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45973</v>
      </c>
      <c r="E179" s="1" t="n">
        <v>46315</v>
      </c>
      <c r="F179" t="inlineStr">
        <is>
          <t>HALLANDS LÄN</t>
        </is>
      </c>
      <c r="G179" t="inlineStr">
        <is>
          <t>LAHOLM</t>
        </is>
      </c>
      <c r="H179" t="inlineStr">
        <is>
          <t>Övriga statliga verk och myndigheter</t>
        </is>
      </c>
      <c r="I179" t="n">
        <v>4.9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46572-2024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45582</v>
      </c>
      <c r="E180" s="1" t="n">
        <v>46315</v>
      </c>
      <c r="F180" t="inlineStr">
        <is>
          <t>HALLANDS LÄN</t>
        </is>
      </c>
      <c r="G180" t="inlineStr">
        <is>
          <t>LAHOLM</t>
        </is>
      </c>
      <c r="I180" t="n">
        <v>1.9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57216-2025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45979</v>
      </c>
      <c r="E181" s="1" t="n">
        <v>46315</v>
      </c>
      <c r="F181" t="inlineStr">
        <is>
          <t>HALLANDS LÄN</t>
        </is>
      </c>
      <c r="G181" t="inlineStr">
        <is>
          <t>LAHOLM</t>
        </is>
      </c>
      <c r="I181" t="n">
        <v>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53532-2024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45614</v>
      </c>
      <c r="E182" s="1" t="n">
        <v>46315</v>
      </c>
      <c r="F182" t="inlineStr">
        <is>
          <t>HALLANDS LÄN</t>
        </is>
      </c>
      <c r="G182" t="inlineStr">
        <is>
          <t>LAHOLM</t>
        </is>
      </c>
      <c r="I182" t="n">
        <v>1.7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9666-2023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44984</v>
      </c>
      <c r="E183" s="1" t="n">
        <v>46315</v>
      </c>
      <c r="F183" t="inlineStr">
        <is>
          <t>HALLANDS LÄN</t>
        </is>
      </c>
      <c r="G183" t="inlineStr">
        <is>
          <t>LAHOLM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4226-2025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45685</v>
      </c>
      <c r="E184" s="1" t="n">
        <v>46315</v>
      </c>
      <c r="F184" t="inlineStr">
        <is>
          <t>HALLANDS LÄN</t>
        </is>
      </c>
      <c r="G184" t="inlineStr">
        <is>
          <t>LAHOLM</t>
        </is>
      </c>
      <c r="I184" t="n">
        <v>4.5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15837-2023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45022</v>
      </c>
      <c r="E185" s="1" t="n">
        <v>46315</v>
      </c>
      <c r="F185" t="inlineStr">
        <is>
          <t>HALLANDS LÄN</t>
        </is>
      </c>
      <c r="G185" t="inlineStr">
        <is>
          <t>LAHOLM</t>
        </is>
      </c>
      <c r="H185" t="inlineStr">
        <is>
          <t>Sveaskog</t>
        </is>
      </c>
      <c r="I185" t="n">
        <v>0.8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67861-2021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44525</v>
      </c>
      <c r="E186" s="1" t="n">
        <v>46315</v>
      </c>
      <c r="F186" t="inlineStr">
        <is>
          <t>HALLANDS LÄN</t>
        </is>
      </c>
      <c r="G186" t="inlineStr">
        <is>
          <t>LAHOLM</t>
        </is>
      </c>
      <c r="I186" t="n">
        <v>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30796-2023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45112</v>
      </c>
      <c r="E187" s="1" t="n">
        <v>46315</v>
      </c>
      <c r="F187" t="inlineStr">
        <is>
          <t>HALLANDS LÄN</t>
        </is>
      </c>
      <c r="G187" t="inlineStr">
        <is>
          <t>LAHOLM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2700-2024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45314</v>
      </c>
      <c r="E188" s="1" t="n">
        <v>46315</v>
      </c>
      <c r="F188" t="inlineStr">
        <is>
          <t>HALLANDS LÄN</t>
        </is>
      </c>
      <c r="G188" t="inlineStr">
        <is>
          <t>LAHOLM</t>
        </is>
      </c>
      <c r="I188" t="n">
        <v>5.6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9479-2023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44981</v>
      </c>
      <c r="E189" s="1" t="n">
        <v>46315</v>
      </c>
      <c r="F189" t="inlineStr">
        <is>
          <t>HALLANDS LÄN</t>
        </is>
      </c>
      <c r="G189" t="inlineStr">
        <is>
          <t>LAHOLM</t>
        </is>
      </c>
      <c r="I189" t="n">
        <v>3.7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27754-2023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45098</v>
      </c>
      <c r="E190" s="1" t="n">
        <v>46315</v>
      </c>
      <c r="F190" t="inlineStr">
        <is>
          <t>HALLANDS LÄN</t>
        </is>
      </c>
      <c r="G190" t="inlineStr">
        <is>
          <t>LAHOLM</t>
        </is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6429-2025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45699</v>
      </c>
      <c r="E191" s="1" t="n">
        <v>46315</v>
      </c>
      <c r="F191" t="inlineStr">
        <is>
          <t>HALLANDS LÄN</t>
        </is>
      </c>
      <c r="G191" t="inlineStr">
        <is>
          <t>LAHOLM</t>
        </is>
      </c>
      <c r="I191" t="n">
        <v>1.8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33163-2023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45126</v>
      </c>
      <c r="E192" s="1" t="n">
        <v>46315</v>
      </c>
      <c r="F192" t="inlineStr">
        <is>
          <t>HALLANDS LÄN</t>
        </is>
      </c>
      <c r="G192" t="inlineStr">
        <is>
          <t>LAHOLM</t>
        </is>
      </c>
      <c r="I192" t="n">
        <v>2.8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42312-2024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45562</v>
      </c>
      <c r="E193" s="1" t="n">
        <v>46315</v>
      </c>
      <c r="F193" t="inlineStr">
        <is>
          <t>HALLANDS LÄN</t>
        </is>
      </c>
      <c r="G193" t="inlineStr">
        <is>
          <t>LAHOLM</t>
        </is>
      </c>
      <c r="I193" t="n">
        <v>0.9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27720-2023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45098</v>
      </c>
      <c r="E194" s="1" t="n">
        <v>46315</v>
      </c>
      <c r="F194" t="inlineStr">
        <is>
          <t>HALLANDS LÄN</t>
        </is>
      </c>
      <c r="G194" t="inlineStr">
        <is>
          <t>LAHOLM</t>
        </is>
      </c>
      <c r="I194" t="n">
        <v>1.5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17548-2024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45415</v>
      </c>
      <c r="E195" s="1" t="n">
        <v>46315</v>
      </c>
      <c r="F195" t="inlineStr">
        <is>
          <t>HALLANDS LÄN</t>
        </is>
      </c>
      <c r="G195" t="inlineStr">
        <is>
          <t>LAHOLM</t>
        </is>
      </c>
      <c r="I195" t="n">
        <v>1.3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60109-2025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45994</v>
      </c>
      <c r="E196" s="1" t="n">
        <v>46315</v>
      </c>
      <c r="F196" t="inlineStr">
        <is>
          <t>HALLANDS LÄN</t>
        </is>
      </c>
      <c r="G196" t="inlineStr">
        <is>
          <t>LAHOLM</t>
        </is>
      </c>
      <c r="H196" t="inlineStr">
        <is>
          <t>Sveaskog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23493-2023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45076</v>
      </c>
      <c r="E197" s="1" t="n">
        <v>46315</v>
      </c>
      <c r="F197" t="inlineStr">
        <is>
          <t>HALLANDS LÄN</t>
        </is>
      </c>
      <c r="G197" t="inlineStr">
        <is>
          <t>LAHOLM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9955-2025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45719</v>
      </c>
      <c r="E198" s="1" t="n">
        <v>46315</v>
      </c>
      <c r="F198" t="inlineStr">
        <is>
          <t>HALLANDS LÄN</t>
        </is>
      </c>
      <c r="G198" t="inlineStr">
        <is>
          <t>LAHOLM</t>
        </is>
      </c>
      <c r="H198" t="inlineStr">
        <is>
          <t>Sveaskog</t>
        </is>
      </c>
      <c r="I198" t="n">
        <v>2.7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57701-2024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45630</v>
      </c>
      <c r="E199" s="1" t="n">
        <v>46315</v>
      </c>
      <c r="F199" t="inlineStr">
        <is>
          <t>HALLANDS LÄN</t>
        </is>
      </c>
      <c r="G199" t="inlineStr">
        <is>
          <t>LAHOLM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42993-2023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45182</v>
      </c>
      <c r="E200" s="1" t="n">
        <v>46315</v>
      </c>
      <c r="F200" t="inlineStr">
        <is>
          <t>HALLANDS LÄN</t>
        </is>
      </c>
      <c r="G200" t="inlineStr">
        <is>
          <t>LAHOLM</t>
        </is>
      </c>
      <c r="I200" t="n">
        <v>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62293-2025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46006</v>
      </c>
      <c r="E201" s="1" t="n">
        <v>46315</v>
      </c>
      <c r="F201" t="inlineStr">
        <is>
          <t>HALLANDS LÄN</t>
        </is>
      </c>
      <c r="G201" t="inlineStr">
        <is>
          <t>LAHOLM</t>
        </is>
      </c>
      <c r="I201" t="n">
        <v>3.7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34474-2023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45139</v>
      </c>
      <c r="E202" s="1" t="n">
        <v>46315</v>
      </c>
      <c r="F202" t="inlineStr">
        <is>
          <t>HALLANDS LÄN</t>
        </is>
      </c>
      <c r="G202" t="inlineStr">
        <is>
          <t>LAHOLM</t>
        </is>
      </c>
      <c r="I202" t="n">
        <v>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34475-2023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45139</v>
      </c>
      <c r="E203" s="1" t="n">
        <v>46315</v>
      </c>
      <c r="F203" t="inlineStr">
        <is>
          <t>HALLANDS LÄN</t>
        </is>
      </c>
      <c r="G203" t="inlineStr">
        <is>
          <t>LAHOLM</t>
        </is>
      </c>
      <c r="I203" t="n">
        <v>1.6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63003-2025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46009</v>
      </c>
      <c r="E204" s="1" t="n">
        <v>46315</v>
      </c>
      <c r="F204" t="inlineStr">
        <is>
          <t>HALLANDS LÄN</t>
        </is>
      </c>
      <c r="G204" t="inlineStr">
        <is>
          <t>LAHOLM</t>
        </is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62999-2025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46009</v>
      </c>
      <c r="E205" s="1" t="n">
        <v>46315</v>
      </c>
      <c r="F205" t="inlineStr">
        <is>
          <t>HALLANDS LÄN</t>
        </is>
      </c>
      <c r="G205" t="inlineStr">
        <is>
          <t>LAHOLM</t>
        </is>
      </c>
      <c r="I205" t="n">
        <v>0.6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60112-2025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45994</v>
      </c>
      <c r="E206" s="1" t="n">
        <v>46315</v>
      </c>
      <c r="F206" t="inlineStr">
        <is>
          <t>HALLANDS LÄN</t>
        </is>
      </c>
      <c r="G206" t="inlineStr">
        <is>
          <t>LAHOLM</t>
        </is>
      </c>
      <c r="H206" t="inlineStr">
        <is>
          <t>Sveaskog</t>
        </is>
      </c>
      <c r="I206" t="n">
        <v>2.6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60115-2025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45994</v>
      </c>
      <c r="E207" s="1" t="n">
        <v>46315</v>
      </c>
      <c r="F207" t="inlineStr">
        <is>
          <t>HALLANDS LÄN</t>
        </is>
      </c>
      <c r="G207" t="inlineStr">
        <is>
          <t>LAHOLM</t>
        </is>
      </c>
      <c r="H207" t="inlineStr">
        <is>
          <t>Sveaskog</t>
        </is>
      </c>
      <c r="I207" t="n">
        <v>6.3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34866-2025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45849</v>
      </c>
      <c r="E208" s="1" t="n">
        <v>46315</v>
      </c>
      <c r="F208" t="inlineStr">
        <is>
          <t>HALLANDS LÄN</t>
        </is>
      </c>
      <c r="G208" t="inlineStr">
        <is>
          <t>LAHOLM</t>
        </is>
      </c>
      <c r="I208" t="n">
        <v>2.9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60341-2024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45643</v>
      </c>
      <c r="E209" s="1" t="n">
        <v>46315</v>
      </c>
      <c r="F209" t="inlineStr">
        <is>
          <t>HALLANDS LÄN</t>
        </is>
      </c>
      <c r="G209" t="inlineStr">
        <is>
          <t>LAHOLM</t>
        </is>
      </c>
      <c r="I209" t="n">
        <v>2.7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12956-2025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45734</v>
      </c>
      <c r="E210" s="1" t="n">
        <v>46315</v>
      </c>
      <c r="F210" t="inlineStr">
        <is>
          <t>HALLANDS LÄN</t>
        </is>
      </c>
      <c r="G210" t="inlineStr">
        <is>
          <t>LAHOLM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25028-2026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46174</v>
      </c>
      <c r="E211" s="1" t="n">
        <v>46315</v>
      </c>
      <c r="F211" t="inlineStr">
        <is>
          <t>HALLANDS LÄN</t>
        </is>
      </c>
      <c r="G211" t="inlineStr">
        <is>
          <t>LAHOLM</t>
        </is>
      </c>
      <c r="I211" t="n">
        <v>4.8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35523-2024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45531</v>
      </c>
      <c r="E212" s="1" t="n">
        <v>46315</v>
      </c>
      <c r="F212" t="inlineStr">
        <is>
          <t>HALLANDS LÄN</t>
        </is>
      </c>
      <c r="G212" t="inlineStr">
        <is>
          <t>LAHOLM</t>
        </is>
      </c>
      <c r="I212" t="n">
        <v>3.7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25026-2026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46174</v>
      </c>
      <c r="E213" s="1" t="n">
        <v>46315</v>
      </c>
      <c r="F213" t="inlineStr">
        <is>
          <t>HALLANDS LÄN</t>
        </is>
      </c>
      <c r="G213" t="inlineStr">
        <is>
          <t>LAHOLM</t>
        </is>
      </c>
      <c r="I213" t="n">
        <v>1.5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25024-2026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46174</v>
      </c>
      <c r="E214" s="1" t="n">
        <v>46315</v>
      </c>
      <c r="F214" t="inlineStr">
        <is>
          <t>HALLANDS LÄN</t>
        </is>
      </c>
      <c r="G214" t="inlineStr">
        <is>
          <t>LAHOLM</t>
        </is>
      </c>
      <c r="I214" t="n">
        <v>4.2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25027-2026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46174</v>
      </c>
      <c r="E215" s="1" t="n">
        <v>46315</v>
      </c>
      <c r="F215" t="inlineStr">
        <is>
          <t>HALLANDS LÄN</t>
        </is>
      </c>
      <c r="G215" t="inlineStr">
        <is>
          <t>LAHOLM</t>
        </is>
      </c>
      <c r="I215" t="n">
        <v>1.8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25029-2026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46174</v>
      </c>
      <c r="E216" s="1" t="n">
        <v>46315</v>
      </c>
      <c r="F216" t="inlineStr">
        <is>
          <t>HALLANDS LÄN</t>
        </is>
      </c>
      <c r="G216" t="inlineStr">
        <is>
          <t>LAHOLM</t>
        </is>
      </c>
      <c r="I216" t="n">
        <v>2.9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1505-2026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46034</v>
      </c>
      <c r="E217" s="1" t="n">
        <v>46315</v>
      </c>
      <c r="F217" t="inlineStr">
        <is>
          <t>HALLANDS LÄN</t>
        </is>
      </c>
      <c r="G217" t="inlineStr">
        <is>
          <t>LAHOLM</t>
        </is>
      </c>
      <c r="I217" t="n">
        <v>0.6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1540-2026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46034</v>
      </c>
      <c r="E218" s="1" t="n">
        <v>46315</v>
      </c>
      <c r="F218" t="inlineStr">
        <is>
          <t>HALLANDS LÄN</t>
        </is>
      </c>
      <c r="G218" t="inlineStr">
        <is>
          <t>LAHOLM</t>
        </is>
      </c>
      <c r="I218" t="n">
        <v>0.5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3022-2026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46038</v>
      </c>
      <c r="E219" s="1" t="n">
        <v>46315</v>
      </c>
      <c r="F219" t="inlineStr">
        <is>
          <t>HALLANDS LÄN</t>
        </is>
      </c>
      <c r="G219" t="inlineStr">
        <is>
          <t>LAHOLM</t>
        </is>
      </c>
      <c r="I219" t="n">
        <v>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15433-2025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45747</v>
      </c>
      <c r="E220" s="1" t="n">
        <v>46315</v>
      </c>
      <c r="F220" t="inlineStr">
        <is>
          <t>HALLANDS LÄN</t>
        </is>
      </c>
      <c r="G220" t="inlineStr">
        <is>
          <t>LAHOLM</t>
        </is>
      </c>
      <c r="I220" t="n">
        <v>4.3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35891-2022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44802</v>
      </c>
      <c r="E221" s="1" t="n">
        <v>46315</v>
      </c>
      <c r="F221" t="inlineStr">
        <is>
          <t>HALLANDS LÄN</t>
        </is>
      </c>
      <c r="G221" t="inlineStr">
        <is>
          <t>LAHOLM</t>
        </is>
      </c>
      <c r="I221" t="n">
        <v>1.7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6268-2022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44600</v>
      </c>
      <c r="E222" s="1" t="n">
        <v>46315</v>
      </c>
      <c r="F222" t="inlineStr">
        <is>
          <t>HALLANDS LÄN</t>
        </is>
      </c>
      <c r="G222" t="inlineStr">
        <is>
          <t>LAHOLM</t>
        </is>
      </c>
      <c r="I222" t="n">
        <v>1.7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5167-2022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44594</v>
      </c>
      <c r="E223" s="1" t="n">
        <v>46315</v>
      </c>
      <c r="F223" t="inlineStr">
        <is>
          <t>HALLANDS LÄN</t>
        </is>
      </c>
      <c r="G223" t="inlineStr">
        <is>
          <t>LAHOLM</t>
        </is>
      </c>
      <c r="H223" t="inlineStr">
        <is>
          <t>Kommuner</t>
        </is>
      </c>
      <c r="I223" t="n">
        <v>3.1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5200-2026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46048</v>
      </c>
      <c r="E224" s="1" t="n">
        <v>46315</v>
      </c>
      <c r="F224" t="inlineStr">
        <is>
          <t>HALLANDS LÄN</t>
        </is>
      </c>
      <c r="G224" t="inlineStr">
        <is>
          <t>LAHOLM</t>
        </is>
      </c>
      <c r="I224" t="n">
        <v>4.7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61506-2024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45646</v>
      </c>
      <c r="E225" s="1" t="n">
        <v>46315</v>
      </c>
      <c r="F225" t="inlineStr">
        <is>
          <t>HALLANDS LÄN</t>
        </is>
      </c>
      <c r="G225" t="inlineStr">
        <is>
          <t>LAHOLM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31937-2023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45119</v>
      </c>
      <c r="E226" s="1" t="n">
        <v>46315</v>
      </c>
      <c r="F226" t="inlineStr">
        <is>
          <t>HALLANDS LÄN</t>
        </is>
      </c>
      <c r="G226" t="inlineStr">
        <is>
          <t>LAHOLM</t>
        </is>
      </c>
      <c r="I226" t="n">
        <v>12.9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69589-2021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44532</v>
      </c>
      <c r="E227" s="1" t="n">
        <v>46315</v>
      </c>
      <c r="F227" t="inlineStr">
        <is>
          <t>HALLANDS LÄN</t>
        </is>
      </c>
      <c r="G227" t="inlineStr">
        <is>
          <t>LAHOLM</t>
        </is>
      </c>
      <c r="I227" t="n">
        <v>2.2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33329-2025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45841</v>
      </c>
      <c r="E228" s="1" t="n">
        <v>46315</v>
      </c>
      <c r="F228" t="inlineStr">
        <is>
          <t>HALLANDS LÄN</t>
        </is>
      </c>
      <c r="G228" t="inlineStr">
        <is>
          <t>LAHOLM</t>
        </is>
      </c>
      <c r="I228" t="n">
        <v>9.199999999999999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5917-2026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46052</v>
      </c>
      <c r="E229" s="1" t="n">
        <v>46315</v>
      </c>
      <c r="F229" t="inlineStr">
        <is>
          <t>HALLANDS LÄN</t>
        </is>
      </c>
      <c r="G229" t="inlineStr">
        <is>
          <t>LAHOLM</t>
        </is>
      </c>
      <c r="I229" t="n">
        <v>0.6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18820-2024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45426</v>
      </c>
      <c r="E230" s="1" t="n">
        <v>46315</v>
      </c>
      <c r="F230" t="inlineStr">
        <is>
          <t>HALLANDS LÄN</t>
        </is>
      </c>
      <c r="G230" t="inlineStr">
        <is>
          <t>LAHOLM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18334-2025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45762</v>
      </c>
      <c r="E231" s="1" t="n">
        <v>46315</v>
      </c>
      <c r="F231" t="inlineStr">
        <is>
          <t>HALLANDS LÄN</t>
        </is>
      </c>
      <c r="G231" t="inlineStr">
        <is>
          <t>LAHOLM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6265-2022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44600</v>
      </c>
      <c r="E232" s="1" t="n">
        <v>46315</v>
      </c>
      <c r="F232" t="inlineStr">
        <is>
          <t>HALLANDS LÄN</t>
        </is>
      </c>
      <c r="G232" t="inlineStr">
        <is>
          <t>LAHOLM</t>
        </is>
      </c>
      <c r="I232" t="n">
        <v>3.3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6467-2026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46056</v>
      </c>
      <c r="E233" s="1" t="n">
        <v>46315</v>
      </c>
      <c r="F233" t="inlineStr">
        <is>
          <t>HALLANDS LÄN</t>
        </is>
      </c>
      <c r="G233" t="inlineStr">
        <is>
          <t>LAHOLM</t>
        </is>
      </c>
      <c r="H233" t="inlineStr">
        <is>
          <t>Kyrkan</t>
        </is>
      </c>
      <c r="I233" t="n">
        <v>0.7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6474-2026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46056</v>
      </c>
      <c r="E234" s="1" t="n">
        <v>46315</v>
      </c>
      <c r="F234" t="inlineStr">
        <is>
          <t>HALLANDS LÄN</t>
        </is>
      </c>
      <c r="G234" t="inlineStr">
        <is>
          <t>LAHOLM</t>
        </is>
      </c>
      <c r="H234" t="inlineStr">
        <is>
          <t>Kyrkan</t>
        </is>
      </c>
      <c r="I234" t="n">
        <v>4.2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36484-2023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45152</v>
      </c>
      <c r="E235" s="1" t="n">
        <v>46315</v>
      </c>
      <c r="F235" t="inlineStr">
        <is>
          <t>HALLANDS LÄN</t>
        </is>
      </c>
      <c r="G235" t="inlineStr">
        <is>
          <t>LAHOLM</t>
        </is>
      </c>
      <c r="I235" t="n">
        <v>4.2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33600-2023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45132</v>
      </c>
      <c r="E236" s="1" t="n">
        <v>46315</v>
      </c>
      <c r="F236" t="inlineStr">
        <is>
          <t>HALLANDS LÄN</t>
        </is>
      </c>
      <c r="G236" t="inlineStr">
        <is>
          <t>LAHOLM</t>
        </is>
      </c>
      <c r="I236" t="n">
        <v>1.3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6765-2026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46057</v>
      </c>
      <c r="E237" s="1" t="n">
        <v>46315</v>
      </c>
      <c r="F237" t="inlineStr">
        <is>
          <t>HALLANDS LÄN</t>
        </is>
      </c>
      <c r="G237" t="inlineStr">
        <is>
          <t>LAHOLM</t>
        </is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45858-2023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45195</v>
      </c>
      <c r="E238" s="1" t="n">
        <v>46315</v>
      </c>
      <c r="F238" t="inlineStr">
        <is>
          <t>HALLANDS LÄN</t>
        </is>
      </c>
      <c r="G238" t="inlineStr">
        <is>
          <t>LAHOLM</t>
        </is>
      </c>
      <c r="I238" t="n">
        <v>0.9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54309-2023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45232</v>
      </c>
      <c r="E239" s="1" t="n">
        <v>46315</v>
      </c>
      <c r="F239" t="inlineStr">
        <is>
          <t>HALLANDS LÄN</t>
        </is>
      </c>
      <c r="G239" t="inlineStr">
        <is>
          <t>LAHOLM</t>
        </is>
      </c>
      <c r="I239" t="n">
        <v>3.7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42189-2023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45179</v>
      </c>
      <c r="E240" s="1" t="n">
        <v>46315</v>
      </c>
      <c r="F240" t="inlineStr">
        <is>
          <t>HALLANDS LÄN</t>
        </is>
      </c>
      <c r="G240" t="inlineStr">
        <is>
          <t>LAHOLM</t>
        </is>
      </c>
      <c r="I240" t="n">
        <v>3.2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4729-2025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45688</v>
      </c>
      <c r="E241" s="1" t="n">
        <v>46315</v>
      </c>
      <c r="F241" t="inlineStr">
        <is>
          <t>HALLANDS LÄN</t>
        </is>
      </c>
      <c r="G241" t="inlineStr">
        <is>
          <t>LAHOLM</t>
        </is>
      </c>
      <c r="I241" t="n">
        <v>3.4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26798-2023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45093</v>
      </c>
      <c r="E242" s="1" t="n">
        <v>46315</v>
      </c>
      <c r="F242" t="inlineStr">
        <is>
          <t>HALLANDS LÄN</t>
        </is>
      </c>
      <c r="G242" t="inlineStr">
        <is>
          <t>LAHOLM</t>
        </is>
      </c>
      <c r="I242" t="n">
        <v>1.7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41289-2023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45174</v>
      </c>
      <c r="E243" s="1" t="n">
        <v>46315</v>
      </c>
      <c r="F243" t="inlineStr">
        <is>
          <t>HALLANDS LÄN</t>
        </is>
      </c>
      <c r="G243" t="inlineStr">
        <is>
          <t>LAHOLM</t>
        </is>
      </c>
      <c r="I243" t="n">
        <v>0.4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1651-2025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45670</v>
      </c>
      <c r="E244" s="1" t="n">
        <v>46315</v>
      </c>
      <c r="F244" t="inlineStr">
        <is>
          <t>HALLANDS LÄN</t>
        </is>
      </c>
      <c r="G244" t="inlineStr">
        <is>
          <t>LAHOLM</t>
        </is>
      </c>
      <c r="I244" t="n">
        <v>7.5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27223-2026</t>
        </is>
      </c>
      <c r="B245" t="inlineStr">
        <is>
          <t>avverkningsanmälan</t>
        </is>
      </c>
      <c r="C245" t="inlineStr">
        <is>
          <t>Avverkning för annat ändamål</t>
        </is>
      </c>
      <c r="D245" s="1" t="n">
        <v>46184</v>
      </c>
      <c r="E245" s="1" t="n">
        <v>46315</v>
      </c>
      <c r="F245" t="inlineStr">
        <is>
          <t>HALLANDS LÄN</t>
        </is>
      </c>
      <c r="G245" t="inlineStr">
        <is>
          <t>LAHOLM</t>
        </is>
      </c>
      <c r="I245" t="n">
        <v>0.5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29474-2022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44753</v>
      </c>
      <c r="E246" s="1" t="n">
        <v>46315</v>
      </c>
      <c r="F246" t="inlineStr">
        <is>
          <t>HALLANDS LÄN</t>
        </is>
      </c>
      <c r="G246" t="inlineStr">
        <is>
          <t>LAHOLM</t>
        </is>
      </c>
      <c r="I246" t="n">
        <v>1.4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40810-2023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45171</v>
      </c>
      <c r="E247" s="1" t="n">
        <v>46315</v>
      </c>
      <c r="F247" t="inlineStr">
        <is>
          <t>HALLANDS LÄN</t>
        </is>
      </c>
      <c r="G247" t="inlineStr">
        <is>
          <t>LAHOLM</t>
        </is>
      </c>
      <c r="I247" t="n">
        <v>2.1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46643-2023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45195</v>
      </c>
      <c r="E248" s="1" t="n">
        <v>46315</v>
      </c>
      <c r="F248" t="inlineStr">
        <is>
          <t>HALLANDS LÄN</t>
        </is>
      </c>
      <c r="G248" t="inlineStr">
        <is>
          <t>LAHOLM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49569-2023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45211</v>
      </c>
      <c r="E249" s="1" t="n">
        <v>46315</v>
      </c>
      <c r="F249" t="inlineStr">
        <is>
          <t>HALLANDS LÄN</t>
        </is>
      </c>
      <c r="G249" t="inlineStr">
        <is>
          <t>LAHOLM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10645-2026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46078</v>
      </c>
      <c r="E250" s="1" t="n">
        <v>46315</v>
      </c>
      <c r="F250" t="inlineStr">
        <is>
          <t>HALLANDS LÄN</t>
        </is>
      </c>
      <c r="G250" t="inlineStr">
        <is>
          <t>LAHOLM</t>
        </is>
      </c>
      <c r="I250" t="n">
        <v>1.4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12935-2024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45385</v>
      </c>
      <c r="E251" s="1" t="n">
        <v>46315</v>
      </c>
      <c r="F251" t="inlineStr">
        <is>
          <t>HALLANDS LÄN</t>
        </is>
      </c>
      <c r="G251" t="inlineStr">
        <is>
          <t>LAHOLM</t>
        </is>
      </c>
      <c r="I251" t="n">
        <v>0.4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37557-2023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45159</v>
      </c>
      <c r="E252" s="1" t="n">
        <v>46315</v>
      </c>
      <c r="F252" t="inlineStr">
        <is>
          <t>HALLANDS LÄN</t>
        </is>
      </c>
      <c r="G252" t="inlineStr">
        <is>
          <t>LAHOLM</t>
        </is>
      </c>
      <c r="I252" t="n">
        <v>1.2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55779-2023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45239</v>
      </c>
      <c r="E253" s="1" t="n">
        <v>46315</v>
      </c>
      <c r="F253" t="inlineStr">
        <is>
          <t>HALLANDS LÄN</t>
        </is>
      </c>
      <c r="G253" t="inlineStr">
        <is>
          <t>LAHOLM</t>
        </is>
      </c>
      <c r="I253" t="n">
        <v>4.1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46164-2024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45581</v>
      </c>
      <c r="E254" s="1" t="n">
        <v>46315</v>
      </c>
      <c r="F254" t="inlineStr">
        <is>
          <t>HALLANDS LÄN</t>
        </is>
      </c>
      <c r="G254" t="inlineStr">
        <is>
          <t>LAHOLM</t>
        </is>
      </c>
      <c r="I254" t="n">
        <v>0.4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8032-2025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45707</v>
      </c>
      <c r="E255" s="1" t="n">
        <v>46315</v>
      </c>
      <c r="F255" t="inlineStr">
        <is>
          <t>HALLANDS LÄN</t>
        </is>
      </c>
      <c r="G255" t="inlineStr">
        <is>
          <t>LAHOLM</t>
        </is>
      </c>
      <c r="I255" t="n">
        <v>1.8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27289-2026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46188</v>
      </c>
      <c r="E256" s="1" t="n">
        <v>46315</v>
      </c>
      <c r="F256" t="inlineStr">
        <is>
          <t>HALLANDS LÄN</t>
        </is>
      </c>
      <c r="G256" t="inlineStr">
        <is>
          <t>LAHOLM</t>
        </is>
      </c>
      <c r="I256" t="n">
        <v>2.6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53778-2023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45231</v>
      </c>
      <c r="E257" s="1" t="n">
        <v>46315</v>
      </c>
      <c r="F257" t="inlineStr">
        <is>
          <t>HALLANDS LÄN</t>
        </is>
      </c>
      <c r="G257" t="inlineStr">
        <is>
          <t>LAHOLM</t>
        </is>
      </c>
      <c r="H257" t="inlineStr">
        <is>
          <t>Sveaskog</t>
        </is>
      </c>
      <c r="I257" t="n">
        <v>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60110-2025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45994</v>
      </c>
      <c r="E258" s="1" t="n">
        <v>46315</v>
      </c>
      <c r="F258" t="inlineStr">
        <is>
          <t>HALLANDS LÄN</t>
        </is>
      </c>
      <c r="G258" t="inlineStr">
        <is>
          <t>LAHOLM</t>
        </is>
      </c>
      <c r="H258" t="inlineStr">
        <is>
          <t>Sveaskog</t>
        </is>
      </c>
      <c r="I258" t="n">
        <v>2.7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2771-2024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45314</v>
      </c>
      <c r="E259" s="1" t="n">
        <v>46315</v>
      </c>
      <c r="F259" t="inlineStr">
        <is>
          <t>HALLANDS LÄN</t>
        </is>
      </c>
      <c r="G259" t="inlineStr">
        <is>
          <t>LAHOLM</t>
        </is>
      </c>
      <c r="I259" t="n">
        <v>2.1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13042-2026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46093</v>
      </c>
      <c r="E260" s="1" t="n">
        <v>46315</v>
      </c>
      <c r="F260" t="inlineStr">
        <is>
          <t>HALLANDS LÄN</t>
        </is>
      </c>
      <c r="G260" t="inlineStr">
        <is>
          <t>LAHOLM</t>
        </is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12788-2026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46091</v>
      </c>
      <c r="E261" s="1" t="n">
        <v>46315</v>
      </c>
      <c r="F261" t="inlineStr">
        <is>
          <t>HALLANDS LÄN</t>
        </is>
      </c>
      <c r="G261" t="inlineStr">
        <is>
          <t>LAHOLM</t>
        </is>
      </c>
      <c r="I261" t="n">
        <v>4.1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13422-2026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46094</v>
      </c>
      <c r="E262" s="1" t="n">
        <v>46315</v>
      </c>
      <c r="F262" t="inlineStr">
        <is>
          <t>HALLANDS LÄN</t>
        </is>
      </c>
      <c r="G262" t="inlineStr">
        <is>
          <t>LAHOLM</t>
        </is>
      </c>
      <c r="I262" t="n">
        <v>1.4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27928-2026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46191</v>
      </c>
      <c r="E263" s="1" t="n">
        <v>46315</v>
      </c>
      <c r="F263" t="inlineStr">
        <is>
          <t>HALLANDS LÄN</t>
        </is>
      </c>
      <c r="G263" t="inlineStr">
        <is>
          <t>LAHOLM</t>
        </is>
      </c>
      <c r="I263" t="n">
        <v>4.4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13998-2026</t>
        </is>
      </c>
      <c r="B264" t="inlineStr">
        <is>
          <t>avverkningsanmälan</t>
        </is>
      </c>
      <c r="C264" t="inlineStr">
        <is>
          <t>Avverkning för att bevara och utveckla /försöksver</t>
        </is>
      </c>
      <c r="D264" s="1" t="n">
        <v>46098</v>
      </c>
      <c r="E264" s="1" t="n">
        <v>46315</v>
      </c>
      <c r="F264" t="inlineStr">
        <is>
          <t>HALLANDS LÄN</t>
        </is>
      </c>
      <c r="G264" t="inlineStr">
        <is>
          <t>LAHOLM</t>
        </is>
      </c>
      <c r="H264" t="inlineStr">
        <is>
          <t>Sveaskog</t>
        </is>
      </c>
      <c r="I264" t="n">
        <v>2.1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50099-2023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45215</v>
      </c>
      <c r="E265" s="1" t="n">
        <v>46315</v>
      </c>
      <c r="F265" t="inlineStr">
        <is>
          <t>HALLANDS LÄN</t>
        </is>
      </c>
      <c r="G265" t="inlineStr">
        <is>
          <t>LAHOLM</t>
        </is>
      </c>
      <c r="I265" t="n">
        <v>0.7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3472-2024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45320</v>
      </c>
      <c r="E266" s="1" t="n">
        <v>46315</v>
      </c>
      <c r="F266" t="inlineStr">
        <is>
          <t>HALLANDS LÄN</t>
        </is>
      </c>
      <c r="G266" t="inlineStr">
        <is>
          <t>LAHOLM</t>
        </is>
      </c>
      <c r="I266" t="n">
        <v>5.5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55135-2023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45230</v>
      </c>
      <c r="E267" s="1" t="n">
        <v>46315</v>
      </c>
      <c r="F267" t="inlineStr">
        <is>
          <t>HALLANDS LÄN</t>
        </is>
      </c>
      <c r="G267" t="inlineStr">
        <is>
          <t>LAHOLM</t>
        </is>
      </c>
      <c r="H267" t="inlineStr">
        <is>
          <t>Övriga statliga verk och myndigheter</t>
        </is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15247-2026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46105</v>
      </c>
      <c r="E268" s="1" t="n">
        <v>46315</v>
      </c>
      <c r="F268" t="inlineStr">
        <is>
          <t>HALLANDS LÄN</t>
        </is>
      </c>
      <c r="G268" t="inlineStr">
        <is>
          <t>LAHOLM</t>
        </is>
      </c>
      <c r="I268" t="n">
        <v>2.4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3248-2024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45317</v>
      </c>
      <c r="E269" s="1" t="n">
        <v>46315</v>
      </c>
      <c r="F269" t="inlineStr">
        <is>
          <t>HALLANDS LÄN</t>
        </is>
      </c>
      <c r="G269" t="inlineStr">
        <is>
          <t>LAHOLM</t>
        </is>
      </c>
      <c r="I269" t="n">
        <v>0.9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28377-2026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46196</v>
      </c>
      <c r="E270" s="1" t="n">
        <v>46315</v>
      </c>
      <c r="F270" t="inlineStr">
        <is>
          <t>HALLANDS LÄN</t>
        </is>
      </c>
      <c r="G270" t="inlineStr">
        <is>
          <t>LAHOLM</t>
        </is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15289-2026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46105</v>
      </c>
      <c r="E271" s="1" t="n">
        <v>46315</v>
      </c>
      <c r="F271" t="inlineStr">
        <is>
          <t>HALLANDS LÄN</t>
        </is>
      </c>
      <c r="G271" t="inlineStr">
        <is>
          <t>LAHOLM</t>
        </is>
      </c>
      <c r="I271" t="n">
        <v>1.3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33578-2023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45131</v>
      </c>
      <c r="E272" s="1" t="n">
        <v>46315</v>
      </c>
      <c r="F272" t="inlineStr">
        <is>
          <t>HALLANDS LÄN</t>
        </is>
      </c>
      <c r="G272" t="inlineStr">
        <is>
          <t>LAHOLM</t>
        </is>
      </c>
      <c r="I272" t="n">
        <v>2.9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62688-2023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45268</v>
      </c>
      <c r="E273" s="1" t="n">
        <v>46315</v>
      </c>
      <c r="F273" t="inlineStr">
        <is>
          <t>HALLANDS LÄN</t>
        </is>
      </c>
      <c r="G273" t="inlineStr">
        <is>
          <t>LAHOLM</t>
        </is>
      </c>
      <c r="I273" t="n">
        <v>0.7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30796-2022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44764</v>
      </c>
      <c r="E274" s="1" t="n">
        <v>46315</v>
      </c>
      <c r="F274" t="inlineStr">
        <is>
          <t>HALLANDS LÄN</t>
        </is>
      </c>
      <c r="G274" t="inlineStr">
        <is>
          <t>LAHOLM</t>
        </is>
      </c>
      <c r="I274" t="n">
        <v>1.3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15538-2026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46106</v>
      </c>
      <c r="E275" s="1" t="n">
        <v>46315</v>
      </c>
      <c r="F275" t="inlineStr">
        <is>
          <t>HALLANDS LÄN</t>
        </is>
      </c>
      <c r="G275" t="inlineStr">
        <is>
          <t>LAHOLM</t>
        </is>
      </c>
      <c r="I275" t="n">
        <v>3.9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28351-2026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46196</v>
      </c>
      <c r="E276" s="1" t="n">
        <v>46315</v>
      </c>
      <c r="F276" t="inlineStr">
        <is>
          <t>HALLANDS LÄN</t>
        </is>
      </c>
      <c r="G276" t="inlineStr">
        <is>
          <t>LAHOLM</t>
        </is>
      </c>
      <c r="I276" t="n">
        <v>0.9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16193-2026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46111</v>
      </c>
      <c r="E277" s="1" t="n">
        <v>46315</v>
      </c>
      <c r="F277" t="inlineStr">
        <is>
          <t>HALLANDS LÄN</t>
        </is>
      </c>
      <c r="G277" t="inlineStr">
        <is>
          <t>LAHOLM</t>
        </is>
      </c>
      <c r="I277" t="n">
        <v>2.8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16899-2026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46113</v>
      </c>
      <c r="E278" s="1" t="n">
        <v>46315</v>
      </c>
      <c r="F278" t="inlineStr">
        <is>
          <t>HALLANDS LÄN</t>
        </is>
      </c>
      <c r="G278" t="inlineStr">
        <is>
          <t>LAHOLM</t>
        </is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17226-2023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45035</v>
      </c>
      <c r="E279" s="1" t="n">
        <v>46315</v>
      </c>
      <c r="F279" t="inlineStr">
        <is>
          <t>HALLANDS LÄN</t>
        </is>
      </c>
      <c r="G279" t="inlineStr">
        <is>
          <t>LAHOLM</t>
        </is>
      </c>
      <c r="I279" t="n">
        <v>2.1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52056-2022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44873</v>
      </c>
      <c r="E280" s="1" t="n">
        <v>46315</v>
      </c>
      <c r="F280" t="inlineStr">
        <is>
          <t>HALLANDS LÄN</t>
        </is>
      </c>
      <c r="G280" t="inlineStr">
        <is>
          <t>LAHOLM</t>
        </is>
      </c>
      <c r="H280" t="inlineStr">
        <is>
          <t>Sveaskog</t>
        </is>
      </c>
      <c r="I280" t="n">
        <v>2.9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17644-2026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46121</v>
      </c>
      <c r="E281" s="1" t="n">
        <v>46315</v>
      </c>
      <c r="F281" t="inlineStr">
        <is>
          <t>HALLANDS LÄN</t>
        </is>
      </c>
      <c r="G281" t="inlineStr">
        <is>
          <t>LAHOLM</t>
        </is>
      </c>
      <c r="I281" t="n">
        <v>1.1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17852-2026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46122</v>
      </c>
      <c r="E282" s="1" t="n">
        <v>46315</v>
      </c>
      <c r="F282" t="inlineStr">
        <is>
          <t>HALLANDS LÄN</t>
        </is>
      </c>
      <c r="G282" t="inlineStr">
        <is>
          <t>LAHOLM</t>
        </is>
      </c>
      <c r="I282" t="n">
        <v>0.7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34046-2023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45135</v>
      </c>
      <c r="E283" s="1" t="n">
        <v>46315</v>
      </c>
      <c r="F283" t="inlineStr">
        <is>
          <t>HALLANDS LÄN</t>
        </is>
      </c>
      <c r="G283" t="inlineStr">
        <is>
          <t>LAHOLM</t>
        </is>
      </c>
      <c r="I283" t="n">
        <v>1.4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58427-2022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44901</v>
      </c>
      <c r="E284" s="1" t="n">
        <v>46315</v>
      </c>
      <c r="F284" t="inlineStr">
        <is>
          <t>HALLANDS LÄN</t>
        </is>
      </c>
      <c r="G284" t="inlineStr">
        <is>
          <t>LAHOLM</t>
        </is>
      </c>
      <c r="I284" t="n">
        <v>8.1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19969-2023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45054</v>
      </c>
      <c r="E285" s="1" t="n">
        <v>46315</v>
      </c>
      <c r="F285" t="inlineStr">
        <is>
          <t>HALLANDS LÄN</t>
        </is>
      </c>
      <c r="G285" t="inlineStr">
        <is>
          <t>LAHOLM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54385-2022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44882</v>
      </c>
      <c r="E286" s="1" t="n">
        <v>46315</v>
      </c>
      <c r="F286" t="inlineStr">
        <is>
          <t>HALLANDS LÄN</t>
        </is>
      </c>
      <c r="G286" t="inlineStr">
        <is>
          <t>LAHOLM</t>
        </is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11999-2024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45377</v>
      </c>
      <c r="E287" s="1" t="n">
        <v>46315</v>
      </c>
      <c r="F287" t="inlineStr">
        <is>
          <t>HALLANDS LÄN</t>
        </is>
      </c>
      <c r="G287" t="inlineStr">
        <is>
          <t>LAHOLM</t>
        </is>
      </c>
      <c r="I287" t="n">
        <v>0.6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55523-2023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45232</v>
      </c>
      <c r="E288" s="1" t="n">
        <v>46315</v>
      </c>
      <c r="F288" t="inlineStr">
        <is>
          <t>HALLANDS LÄN</t>
        </is>
      </c>
      <c r="G288" t="inlineStr">
        <is>
          <t>LAHOLM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31194-2026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46209</v>
      </c>
      <c r="E289" s="1" t="n">
        <v>46315</v>
      </c>
      <c r="F289" t="inlineStr">
        <is>
          <t>HALLANDS LÄN</t>
        </is>
      </c>
      <c r="G289" t="inlineStr">
        <is>
          <t>LAHOLM</t>
        </is>
      </c>
      <c r="H289" t="inlineStr">
        <is>
          <t>Sveaskog</t>
        </is>
      </c>
      <c r="I289" t="n">
        <v>0.7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29220-2026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46202</v>
      </c>
      <c r="E290" s="1" t="n">
        <v>46315</v>
      </c>
      <c r="F290" t="inlineStr">
        <is>
          <t>HALLANDS LÄN</t>
        </is>
      </c>
      <c r="G290" t="inlineStr">
        <is>
          <t>LAHOLM</t>
        </is>
      </c>
      <c r="I290" t="n">
        <v>1.2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29219-2026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46202</v>
      </c>
      <c r="E291" s="1" t="n">
        <v>46315</v>
      </c>
      <c r="F291" t="inlineStr">
        <is>
          <t>HALLANDS LÄN</t>
        </is>
      </c>
      <c r="G291" t="inlineStr">
        <is>
          <t>LAHOLM</t>
        </is>
      </c>
      <c r="I291" t="n">
        <v>0.7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19560-2026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46134</v>
      </c>
      <c r="E292" s="1" t="n">
        <v>46315</v>
      </c>
      <c r="F292" t="inlineStr">
        <is>
          <t>HALLANDS LÄN</t>
        </is>
      </c>
      <c r="G292" t="inlineStr">
        <is>
          <t>LAHOLM</t>
        </is>
      </c>
      <c r="I292" t="n">
        <v>0.7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19384-2026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46133</v>
      </c>
      <c r="E293" s="1" t="n">
        <v>46315</v>
      </c>
      <c r="F293" t="inlineStr">
        <is>
          <t>HALLANDS LÄN</t>
        </is>
      </c>
      <c r="G293" t="inlineStr">
        <is>
          <t>LAHOLM</t>
        </is>
      </c>
      <c r="H293" t="inlineStr">
        <is>
          <t>Sveaskog</t>
        </is>
      </c>
      <c r="I293" t="n">
        <v>4.8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34889-2025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45849</v>
      </c>
      <c r="E294" s="1" t="n">
        <v>46315</v>
      </c>
      <c r="F294" t="inlineStr">
        <is>
          <t>HALLANDS LÄN</t>
        </is>
      </c>
      <c r="G294" t="inlineStr">
        <is>
          <t>LAHOLM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59701-2022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44908</v>
      </c>
      <c r="E295" s="1" t="n">
        <v>46315</v>
      </c>
      <c r="F295" t="inlineStr">
        <is>
          <t>HALLANDS LÄN</t>
        </is>
      </c>
      <c r="G295" t="inlineStr">
        <is>
          <t>LAHOLM</t>
        </is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19785-2026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46135</v>
      </c>
      <c r="E296" s="1" t="n">
        <v>46315</v>
      </c>
      <c r="F296" t="inlineStr">
        <is>
          <t>HALLANDS LÄN</t>
        </is>
      </c>
      <c r="G296" t="inlineStr">
        <is>
          <t>LAHOLM</t>
        </is>
      </c>
      <c r="I296" t="n">
        <v>2.2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39465-2023</t>
        </is>
      </c>
      <c r="B297" t="inlineStr">
        <is>
          <t>avverkningsanmälan</t>
        </is>
      </c>
      <c r="C297" t="inlineStr">
        <is>
          <t>Avverkning för annat ändamål</t>
        </is>
      </c>
      <c r="D297" s="1" t="n">
        <v>45166</v>
      </c>
      <c r="E297" s="1" t="n">
        <v>46315</v>
      </c>
      <c r="F297" t="inlineStr">
        <is>
          <t>HALLANDS LÄN</t>
        </is>
      </c>
      <c r="G297" t="inlineStr">
        <is>
          <t>LAHOLM</t>
        </is>
      </c>
      <c r="I297" t="n">
        <v>0.9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4381-2024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45327</v>
      </c>
      <c r="E298" s="1" t="n">
        <v>46315</v>
      </c>
      <c r="F298" t="inlineStr">
        <is>
          <t>HALLANDS LÄN</t>
        </is>
      </c>
      <c r="G298" t="inlineStr">
        <is>
          <t>LAHOLM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60025-2022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44909</v>
      </c>
      <c r="E299" s="1" t="n">
        <v>46315</v>
      </c>
      <c r="F299" t="inlineStr">
        <is>
          <t>HALLANDS LÄN</t>
        </is>
      </c>
      <c r="G299" t="inlineStr">
        <is>
          <t>LAHOLM</t>
        </is>
      </c>
      <c r="I299" t="n">
        <v>2.3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12928-2024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45385</v>
      </c>
      <c r="E300" s="1" t="n">
        <v>46315</v>
      </c>
      <c r="F300" t="inlineStr">
        <is>
          <t>HALLANDS LÄN</t>
        </is>
      </c>
      <c r="G300" t="inlineStr">
        <is>
          <t>LAHOLM</t>
        </is>
      </c>
      <c r="I300" t="n">
        <v>0.5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34208-2025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45845</v>
      </c>
      <c r="E301" s="1" t="n">
        <v>46315</v>
      </c>
      <c r="F301" t="inlineStr">
        <is>
          <t>HALLANDS LÄN</t>
        </is>
      </c>
      <c r="G301" t="inlineStr">
        <is>
          <t>LAHOLM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58558-2022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44902</v>
      </c>
      <c r="E302" s="1" t="n">
        <v>46315</v>
      </c>
      <c r="F302" t="inlineStr">
        <is>
          <t>HALLANDS LÄN</t>
        </is>
      </c>
      <c r="G302" t="inlineStr">
        <is>
          <t>LAHOLM</t>
        </is>
      </c>
      <c r="I302" t="n">
        <v>1.1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6187-2023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44964</v>
      </c>
      <c r="E303" s="1" t="n">
        <v>46315</v>
      </c>
      <c r="F303" t="inlineStr">
        <is>
          <t>HALLANDS LÄN</t>
        </is>
      </c>
      <c r="G303" t="inlineStr">
        <is>
          <t>LAHOLM</t>
        </is>
      </c>
      <c r="I303" t="n">
        <v>1.8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16175-2023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45027</v>
      </c>
      <c r="E304" s="1" t="n">
        <v>46315</v>
      </c>
      <c r="F304" t="inlineStr">
        <is>
          <t>HALLANDS LÄN</t>
        </is>
      </c>
      <c r="G304" t="inlineStr">
        <is>
          <t>LAHOLM</t>
        </is>
      </c>
      <c r="I304" t="n">
        <v>3.6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30386-2026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46209</v>
      </c>
      <c r="E305" s="1" t="n">
        <v>46315</v>
      </c>
      <c r="F305" t="inlineStr">
        <is>
          <t>HALLANDS LÄN</t>
        </is>
      </c>
      <c r="G305" t="inlineStr">
        <is>
          <t>LAHOLM</t>
        </is>
      </c>
      <c r="H305" t="inlineStr">
        <is>
          <t>Sveaskog</t>
        </is>
      </c>
      <c r="I305" t="n">
        <v>0.9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17259-2023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45035</v>
      </c>
      <c r="E306" s="1" t="n">
        <v>46315</v>
      </c>
      <c r="F306" t="inlineStr">
        <is>
          <t>HALLANDS LÄN</t>
        </is>
      </c>
      <c r="G306" t="inlineStr">
        <is>
          <t>LAHOLM</t>
        </is>
      </c>
      <c r="I306" t="n">
        <v>2.4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30032-2026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46206</v>
      </c>
      <c r="E307" s="1" t="n">
        <v>46315</v>
      </c>
      <c r="F307" t="inlineStr">
        <is>
          <t>HALLANDS LÄN</t>
        </is>
      </c>
      <c r="G307" t="inlineStr">
        <is>
          <t>LAHOLM</t>
        </is>
      </c>
      <c r="I307" t="n">
        <v>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30385-2026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46209</v>
      </c>
      <c r="E308" s="1" t="n">
        <v>46315</v>
      </c>
      <c r="F308" t="inlineStr">
        <is>
          <t>HALLANDS LÄN</t>
        </is>
      </c>
      <c r="G308" t="inlineStr">
        <is>
          <t>LAHOLM</t>
        </is>
      </c>
      <c r="H308" t="inlineStr">
        <is>
          <t>Sveaskog</t>
        </is>
      </c>
      <c r="I308" t="n">
        <v>1.1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30030-2026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46206</v>
      </c>
      <c r="E309" s="1" t="n">
        <v>46315</v>
      </c>
      <c r="F309" t="inlineStr">
        <is>
          <t>HALLANDS LÄN</t>
        </is>
      </c>
      <c r="G309" t="inlineStr">
        <is>
          <t>LAHOLM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31358-2022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44774</v>
      </c>
      <c r="E310" s="1" t="n">
        <v>46315</v>
      </c>
      <c r="F310" t="inlineStr">
        <is>
          <t>HALLANDS LÄN</t>
        </is>
      </c>
      <c r="G310" t="inlineStr">
        <is>
          <t>LAHOLM</t>
        </is>
      </c>
      <c r="I310" t="n">
        <v>1.5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30729-2026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46211</v>
      </c>
      <c r="E311" s="1" t="n">
        <v>46315</v>
      </c>
      <c r="F311" t="inlineStr">
        <is>
          <t>HALLANDS LÄN</t>
        </is>
      </c>
      <c r="G311" t="inlineStr">
        <is>
          <t>LAHOLM</t>
        </is>
      </c>
      <c r="I311" t="n">
        <v>1.1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620-2023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44930</v>
      </c>
      <c r="E312" s="1" t="n">
        <v>46315</v>
      </c>
      <c r="F312" t="inlineStr">
        <is>
          <t>HALLANDS LÄN</t>
        </is>
      </c>
      <c r="G312" t="inlineStr">
        <is>
          <t>LAHOLM</t>
        </is>
      </c>
      <c r="I312" t="n">
        <v>1.4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8891-2024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45357</v>
      </c>
      <c r="E313" s="1" t="n">
        <v>46315</v>
      </c>
      <c r="F313" t="inlineStr">
        <is>
          <t>HALLANDS LÄN</t>
        </is>
      </c>
      <c r="G313" t="inlineStr">
        <is>
          <t>LAHOLM</t>
        </is>
      </c>
      <c r="I313" t="n">
        <v>4.2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61711-2021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44501</v>
      </c>
      <c r="E314" s="1" t="n">
        <v>46315</v>
      </c>
      <c r="F314" t="inlineStr">
        <is>
          <t>HALLANDS LÄN</t>
        </is>
      </c>
      <c r="G314" t="inlineStr">
        <is>
          <t>LAHOLM</t>
        </is>
      </c>
      <c r="I314" t="n">
        <v>0.9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6198-2024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45337</v>
      </c>
      <c r="E315" s="1" t="n">
        <v>46315</v>
      </c>
      <c r="F315" t="inlineStr">
        <is>
          <t>HALLANDS LÄN</t>
        </is>
      </c>
      <c r="G315" t="inlineStr">
        <is>
          <t>LAHOLM</t>
        </is>
      </c>
      <c r="I315" t="n">
        <v>1.5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8825-2026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46066</v>
      </c>
      <c r="E316" s="1" t="n">
        <v>46315</v>
      </c>
      <c r="F316" t="inlineStr">
        <is>
          <t>HALLANDS LÄN</t>
        </is>
      </c>
      <c r="G316" t="inlineStr">
        <is>
          <t>LAHOLM</t>
        </is>
      </c>
      <c r="I316" t="n">
        <v>3.7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51021-2024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45603</v>
      </c>
      <c r="E317" s="1" t="n">
        <v>46315</v>
      </c>
      <c r="F317" t="inlineStr">
        <is>
          <t>HALLANDS LÄN</t>
        </is>
      </c>
      <c r="G317" t="inlineStr">
        <is>
          <t>LAHOLM</t>
        </is>
      </c>
      <c r="I317" t="n">
        <v>6.2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24390-2022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44726</v>
      </c>
      <c r="E318" s="1" t="n">
        <v>46315</v>
      </c>
      <c r="F318" t="inlineStr">
        <is>
          <t>HALLANDS LÄN</t>
        </is>
      </c>
      <c r="G318" t="inlineStr">
        <is>
          <t>LAHOLM</t>
        </is>
      </c>
      <c r="I318" t="n">
        <v>1.4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24395-2022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44726</v>
      </c>
      <c r="E319" s="1" t="n">
        <v>46315</v>
      </c>
      <c r="F319" t="inlineStr">
        <is>
          <t>HALLANDS LÄN</t>
        </is>
      </c>
      <c r="G319" t="inlineStr">
        <is>
          <t>LAHOLM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63793-2023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45278</v>
      </c>
      <c r="E320" s="1" t="n">
        <v>46315</v>
      </c>
      <c r="F320" t="inlineStr">
        <is>
          <t>HALLANDS LÄN</t>
        </is>
      </c>
      <c r="G320" t="inlineStr">
        <is>
          <t>LAHOLM</t>
        </is>
      </c>
      <c r="I320" t="n">
        <v>6.2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63486-2023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45274</v>
      </c>
      <c r="E321" s="1" t="n">
        <v>46315</v>
      </c>
      <c r="F321" t="inlineStr">
        <is>
          <t>HALLANDS LÄN</t>
        </is>
      </c>
      <c r="G321" t="inlineStr">
        <is>
          <t>LAHOLM</t>
        </is>
      </c>
      <c r="I321" t="n">
        <v>1.4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2626-2023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44942</v>
      </c>
      <c r="E322" s="1" t="n">
        <v>46315</v>
      </c>
      <c r="F322" t="inlineStr">
        <is>
          <t>HALLANDS LÄN</t>
        </is>
      </c>
      <c r="G322" t="inlineStr">
        <is>
          <t>LAHOLM</t>
        </is>
      </c>
      <c r="I322" t="n">
        <v>2.1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31471-2026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46222</v>
      </c>
      <c r="E323" s="1" t="n">
        <v>46315</v>
      </c>
      <c r="F323" t="inlineStr">
        <is>
          <t>HALLANDS LÄN</t>
        </is>
      </c>
      <c r="G323" t="inlineStr">
        <is>
          <t>LAHOLM</t>
        </is>
      </c>
      <c r="I323" t="n">
        <v>0.7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10-2025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45658</v>
      </c>
      <c r="E324" s="1" t="n">
        <v>46315</v>
      </c>
      <c r="F324" t="inlineStr">
        <is>
          <t>HALLANDS LÄN</t>
        </is>
      </c>
      <c r="G324" t="inlineStr">
        <is>
          <t>LAHOLM</t>
        </is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5308-2026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46050</v>
      </c>
      <c r="E325" s="1" t="n">
        <v>46315</v>
      </c>
      <c r="F325" t="inlineStr">
        <is>
          <t>HALLANDS LÄN</t>
        </is>
      </c>
      <c r="G325" t="inlineStr">
        <is>
          <t>LAHOLM</t>
        </is>
      </c>
      <c r="I325" t="n">
        <v>6.9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17227-2023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45035</v>
      </c>
      <c r="E326" s="1" t="n">
        <v>46315</v>
      </c>
      <c r="F326" t="inlineStr">
        <is>
          <t>HALLANDS LÄN</t>
        </is>
      </c>
      <c r="G326" t="inlineStr">
        <is>
          <t>LAHOLM</t>
        </is>
      </c>
      <c r="I326" t="n">
        <v>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2552-2023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44943</v>
      </c>
      <c r="E327" s="1" t="n">
        <v>46315</v>
      </c>
      <c r="F327" t="inlineStr">
        <is>
          <t>HALLANDS LÄN</t>
        </is>
      </c>
      <c r="G327" t="inlineStr">
        <is>
          <t>LAHOLM</t>
        </is>
      </c>
      <c r="H327" t="inlineStr">
        <is>
          <t>Kommuner</t>
        </is>
      </c>
      <c r="I327" t="n">
        <v>5.5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21190-2024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45440</v>
      </c>
      <c r="E328" s="1" t="n">
        <v>46315</v>
      </c>
      <c r="F328" t="inlineStr">
        <is>
          <t>HALLANDS LÄN</t>
        </is>
      </c>
      <c r="G328" t="inlineStr">
        <is>
          <t>LAHOLM</t>
        </is>
      </c>
      <c r="I328" t="n">
        <v>2.3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3463-2024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45320</v>
      </c>
      <c r="E329" s="1" t="n">
        <v>46315</v>
      </c>
      <c r="F329" t="inlineStr">
        <is>
          <t>HALLANDS LÄN</t>
        </is>
      </c>
      <c r="G329" t="inlineStr">
        <is>
          <t>LAHOLM</t>
        </is>
      </c>
      <c r="I329" t="n">
        <v>0.5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47953-2024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45589</v>
      </c>
      <c r="E330" s="1" t="n">
        <v>46315</v>
      </c>
      <c r="F330" t="inlineStr">
        <is>
          <t>HALLANDS LÄN</t>
        </is>
      </c>
      <c r="G330" t="inlineStr">
        <is>
          <t>LAHOLM</t>
        </is>
      </c>
      <c r="I330" t="n">
        <v>2.8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30797-2023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45112</v>
      </c>
      <c r="E331" s="1" t="n">
        <v>46315</v>
      </c>
      <c r="F331" t="inlineStr">
        <is>
          <t>HALLANDS LÄN</t>
        </is>
      </c>
      <c r="G331" t="inlineStr">
        <is>
          <t>LAHOLM</t>
        </is>
      </c>
      <c r="I331" t="n">
        <v>1.1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30798-2023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45112</v>
      </c>
      <c r="E332" s="1" t="n">
        <v>46315</v>
      </c>
      <c r="F332" t="inlineStr">
        <is>
          <t>HALLANDS LÄN</t>
        </is>
      </c>
      <c r="G332" t="inlineStr">
        <is>
          <t>LAHOLM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23242-2024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45453</v>
      </c>
      <c r="E333" s="1" t="n">
        <v>46315</v>
      </c>
      <c r="F333" t="inlineStr">
        <is>
          <t>HALLANDS LÄN</t>
        </is>
      </c>
      <c r="G333" t="inlineStr">
        <is>
          <t>LAHOLM</t>
        </is>
      </c>
      <c r="H333" t="inlineStr">
        <is>
          <t>Sveaskog</t>
        </is>
      </c>
      <c r="I333" t="n">
        <v>0.8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4494-2024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45327</v>
      </c>
      <c r="E334" s="1" t="n">
        <v>46315</v>
      </c>
      <c r="F334" t="inlineStr">
        <is>
          <t>HALLANDS LÄN</t>
        </is>
      </c>
      <c r="G334" t="inlineStr">
        <is>
          <t>LAHOLM</t>
        </is>
      </c>
      <c r="I334" t="n">
        <v>0.8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37672-2022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44810</v>
      </c>
      <c r="E335" s="1" t="n">
        <v>46315</v>
      </c>
      <c r="F335" t="inlineStr">
        <is>
          <t>HALLANDS LÄN</t>
        </is>
      </c>
      <c r="G335" t="inlineStr">
        <is>
          <t>LAHOLM</t>
        </is>
      </c>
      <c r="I335" t="n">
        <v>2.7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20562-2023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45057</v>
      </c>
      <c r="E336" s="1" t="n">
        <v>46315</v>
      </c>
      <c r="F336" t="inlineStr">
        <is>
          <t>HALLANDS LÄN</t>
        </is>
      </c>
      <c r="G336" t="inlineStr">
        <is>
          <t>LAHOLM</t>
        </is>
      </c>
      <c r="I336" t="n">
        <v>2.5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32244-2026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46237</v>
      </c>
      <c r="E337" s="1" t="n">
        <v>46315</v>
      </c>
      <c r="F337" t="inlineStr">
        <is>
          <t>HALLANDS LÄN</t>
        </is>
      </c>
      <c r="G337" t="inlineStr">
        <is>
          <t>LAHOLM</t>
        </is>
      </c>
      <c r="I337" t="n">
        <v>5.9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3447-2023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44949</v>
      </c>
      <c r="E338" s="1" t="n">
        <v>46315</v>
      </c>
      <c r="F338" t="inlineStr">
        <is>
          <t>HALLANDS LÄN</t>
        </is>
      </c>
      <c r="G338" t="inlineStr">
        <is>
          <t>LAHOLM</t>
        </is>
      </c>
      <c r="I338" t="n">
        <v>1.9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6833-2022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44602</v>
      </c>
      <c r="E339" s="1" t="n">
        <v>46315</v>
      </c>
      <c r="F339" t="inlineStr">
        <is>
          <t>HALLANDS LÄN</t>
        </is>
      </c>
      <c r="G339" t="inlineStr">
        <is>
          <t>LAHOLM</t>
        </is>
      </c>
      <c r="I339" t="n">
        <v>1.4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37720-2026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46279</v>
      </c>
      <c r="E340" s="1" t="n">
        <v>46315</v>
      </c>
      <c r="F340" t="inlineStr">
        <is>
          <t>HALLANDS LÄN</t>
        </is>
      </c>
      <c r="G340" t="inlineStr">
        <is>
          <t>LAHOLM</t>
        </is>
      </c>
      <c r="I340" t="n">
        <v>2.1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32216-2026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46237</v>
      </c>
      <c r="E341" s="1" t="n">
        <v>46315</v>
      </c>
      <c r="F341" t="inlineStr">
        <is>
          <t>HALLANDS LÄN</t>
        </is>
      </c>
      <c r="G341" t="inlineStr">
        <is>
          <t>LAHOLM</t>
        </is>
      </c>
      <c r="I341" t="n">
        <v>1.1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37448-2023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45156</v>
      </c>
      <c r="E342" s="1" t="n">
        <v>46315</v>
      </c>
      <c r="F342" t="inlineStr">
        <is>
          <t>HALLANDS LÄN</t>
        </is>
      </c>
      <c r="G342" t="inlineStr">
        <is>
          <t>LAHOLM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2550-2023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44943</v>
      </c>
      <c r="E343" s="1" t="n">
        <v>46315</v>
      </c>
      <c r="F343" t="inlineStr">
        <is>
          <t>HALLANDS LÄN</t>
        </is>
      </c>
      <c r="G343" t="inlineStr">
        <is>
          <t>LAHOLM</t>
        </is>
      </c>
      <c r="H343" t="inlineStr">
        <is>
          <t>Kommuner</t>
        </is>
      </c>
      <c r="I343" t="n">
        <v>7.6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54802-2022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44883</v>
      </c>
      <c r="E344" s="1" t="n">
        <v>46315</v>
      </c>
      <c r="F344" t="inlineStr">
        <is>
          <t>HALLANDS LÄN</t>
        </is>
      </c>
      <c r="G344" t="inlineStr">
        <is>
          <t>LAHOLM</t>
        </is>
      </c>
      <c r="H344" t="inlineStr">
        <is>
          <t>Kommuner</t>
        </is>
      </c>
      <c r="I344" t="n">
        <v>4.4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51002-2024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45603</v>
      </c>
      <c r="E345" s="1" t="n">
        <v>46315</v>
      </c>
      <c r="F345" t="inlineStr">
        <is>
          <t>HALLANDS LÄN</t>
        </is>
      </c>
      <c r="G345" t="inlineStr">
        <is>
          <t>LAHOLM</t>
        </is>
      </c>
      <c r="I345" t="n">
        <v>2.1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60021-2022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44909</v>
      </c>
      <c r="E346" s="1" t="n">
        <v>46315</v>
      </c>
      <c r="F346" t="inlineStr">
        <is>
          <t>HALLANDS LÄN</t>
        </is>
      </c>
      <c r="G346" t="inlineStr">
        <is>
          <t>LAHOLM</t>
        </is>
      </c>
      <c r="I346" t="n">
        <v>2.6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38884-2026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46286</v>
      </c>
      <c r="E347" s="1" t="n">
        <v>46315</v>
      </c>
      <c r="F347" t="inlineStr">
        <is>
          <t>HALLANDS LÄN</t>
        </is>
      </c>
      <c r="G347" t="inlineStr">
        <is>
          <t>LAHOLM</t>
        </is>
      </c>
      <c r="I347" t="n">
        <v>2.3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24759-2026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46171</v>
      </c>
      <c r="E348" s="1" t="n">
        <v>46315</v>
      </c>
      <c r="F348" t="inlineStr">
        <is>
          <t>HALLANDS LÄN</t>
        </is>
      </c>
      <c r="G348" t="inlineStr">
        <is>
          <t>LAHOLM</t>
        </is>
      </c>
      <c r="I348" t="n">
        <v>4.3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51134-2023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45219</v>
      </c>
      <c r="E349" s="1" t="n">
        <v>46315</v>
      </c>
      <c r="F349" t="inlineStr">
        <is>
          <t>HALLANDS LÄN</t>
        </is>
      </c>
      <c r="G349" t="inlineStr">
        <is>
          <t>LAHOLM</t>
        </is>
      </c>
      <c r="I349" t="n">
        <v>1.6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442-2025</t>
        </is>
      </c>
      <c r="B350" t="inlineStr">
        <is>
          <t>avverkningsanmälan</t>
        </is>
      </c>
      <c r="C350" t="inlineStr">
        <is>
          <t>Avverkning för att bevara och utveckla /försöksver</t>
        </is>
      </c>
      <c r="D350" s="1" t="n">
        <v>45664</v>
      </c>
      <c r="E350" s="1" t="n">
        <v>46315</v>
      </c>
      <c r="F350" t="inlineStr">
        <is>
          <t>HALLANDS LÄN</t>
        </is>
      </c>
      <c r="G350" t="inlineStr">
        <is>
          <t>LAHOLM</t>
        </is>
      </c>
      <c r="H350" t="inlineStr">
        <is>
          <t>Sveaskog</t>
        </is>
      </c>
      <c r="I350" t="n">
        <v>0.8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27732-2023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45098</v>
      </c>
      <c r="E351" s="1" t="n">
        <v>46315</v>
      </c>
      <c r="F351" t="inlineStr">
        <is>
          <t>HALLANDS LÄN</t>
        </is>
      </c>
      <c r="G351" t="inlineStr">
        <is>
          <t>LAHOLM</t>
        </is>
      </c>
      <c r="I351" t="n">
        <v>1.8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39791-2026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46290</v>
      </c>
      <c r="E352" s="1" t="n">
        <v>46315</v>
      </c>
      <c r="F352" t="inlineStr">
        <is>
          <t>HALLANDS LÄN</t>
        </is>
      </c>
      <c r="G352" t="inlineStr">
        <is>
          <t>LAHOLM</t>
        </is>
      </c>
      <c r="I352" t="n">
        <v>1.6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50995-2024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45603</v>
      </c>
      <c r="E353" s="1" t="n">
        <v>46315</v>
      </c>
      <c r="F353" t="inlineStr">
        <is>
          <t>HALLANDS LÄN</t>
        </is>
      </c>
      <c r="G353" t="inlineStr">
        <is>
          <t>LAHOLM</t>
        </is>
      </c>
      <c r="I353" t="n">
        <v>4.2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55699-2023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45239</v>
      </c>
      <c r="E354" s="1" t="n">
        <v>46315</v>
      </c>
      <c r="F354" t="inlineStr">
        <is>
          <t>HALLANDS LÄN</t>
        </is>
      </c>
      <c r="G354" t="inlineStr">
        <is>
          <t>LAHOLM</t>
        </is>
      </c>
      <c r="I354" t="n">
        <v>2.1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33255-2026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46246</v>
      </c>
      <c r="E355" s="1" t="n">
        <v>46315</v>
      </c>
      <c r="F355" t="inlineStr">
        <is>
          <t>HALLANDS LÄN</t>
        </is>
      </c>
      <c r="G355" t="inlineStr">
        <is>
          <t>LAHOLM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1284-2024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45303</v>
      </c>
      <c r="E356" s="1" t="n">
        <v>46315</v>
      </c>
      <c r="F356" t="inlineStr">
        <is>
          <t>HALLANDS LÄN</t>
        </is>
      </c>
      <c r="G356" t="inlineStr">
        <is>
          <t>LAHOLM</t>
        </is>
      </c>
      <c r="I356" t="n">
        <v>0.8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39783-2026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46290</v>
      </c>
      <c r="E357" s="1" t="n">
        <v>46315</v>
      </c>
      <c r="F357" t="inlineStr">
        <is>
          <t>HALLANDS LÄN</t>
        </is>
      </c>
      <c r="G357" t="inlineStr">
        <is>
          <t>LAHOLM</t>
        </is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33250-2026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46246</v>
      </c>
      <c r="E358" s="1" t="n">
        <v>46315</v>
      </c>
      <c r="F358" t="inlineStr">
        <is>
          <t>HALLANDS LÄN</t>
        </is>
      </c>
      <c r="G358" t="inlineStr">
        <is>
          <t>LAHOLM</t>
        </is>
      </c>
      <c r="I358" t="n">
        <v>2.3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33248-2026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46246</v>
      </c>
      <c r="E359" s="1" t="n">
        <v>46315</v>
      </c>
      <c r="F359" t="inlineStr">
        <is>
          <t>HALLANDS LÄN</t>
        </is>
      </c>
      <c r="G359" t="inlineStr">
        <is>
          <t>LAHOLM</t>
        </is>
      </c>
      <c r="I359" t="n">
        <v>4.4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17906-2023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45040</v>
      </c>
      <c r="E360" s="1" t="n">
        <v>46315</v>
      </c>
      <c r="F360" t="inlineStr">
        <is>
          <t>HALLANDS LÄN</t>
        </is>
      </c>
      <c r="G360" t="inlineStr">
        <is>
          <t>LAHOLM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39793-2026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46290</v>
      </c>
      <c r="E361" s="1" t="n">
        <v>46315</v>
      </c>
      <c r="F361" t="inlineStr">
        <is>
          <t>HALLANDS LÄN</t>
        </is>
      </c>
      <c r="G361" t="inlineStr">
        <is>
          <t>LAHOLM</t>
        </is>
      </c>
      <c r="I361" t="n">
        <v>2.7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39741-2026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46290</v>
      </c>
      <c r="E362" s="1" t="n">
        <v>46315</v>
      </c>
      <c r="F362" t="inlineStr">
        <is>
          <t>HALLANDS LÄN</t>
        </is>
      </c>
      <c r="G362" t="inlineStr">
        <is>
          <t>LAHOLM</t>
        </is>
      </c>
      <c r="I362" t="n">
        <v>1.4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54464-2024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45617</v>
      </c>
      <c r="E363" s="1" t="n">
        <v>46315</v>
      </c>
      <c r="F363" t="inlineStr">
        <is>
          <t>HALLANDS LÄN</t>
        </is>
      </c>
      <c r="G363" t="inlineStr">
        <is>
          <t>LAHOLM</t>
        </is>
      </c>
      <c r="H363" t="inlineStr">
        <is>
          <t>Sveaskog</t>
        </is>
      </c>
      <c r="I363" t="n">
        <v>1.7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33450-2023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45130</v>
      </c>
      <c r="E364" s="1" t="n">
        <v>46315</v>
      </c>
      <c r="F364" t="inlineStr">
        <is>
          <t>HALLANDS LÄN</t>
        </is>
      </c>
      <c r="G364" t="inlineStr">
        <is>
          <t>LAHOLM</t>
        </is>
      </c>
      <c r="I364" t="n">
        <v>0.7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19804-2026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46135</v>
      </c>
      <c r="E365" s="1" t="n">
        <v>46315</v>
      </c>
      <c r="F365" t="inlineStr">
        <is>
          <t>HALLANDS LÄN</t>
        </is>
      </c>
      <c r="G365" t="inlineStr">
        <is>
          <t>LAHOLM</t>
        </is>
      </c>
      <c r="I365" t="n">
        <v>3.2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358-2023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44929</v>
      </c>
      <c r="E366" s="1" t="n">
        <v>46315</v>
      </c>
      <c r="F366" t="inlineStr">
        <is>
          <t>HALLANDS LÄN</t>
        </is>
      </c>
      <c r="G366" t="inlineStr">
        <is>
          <t>LAHOLM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23151-2023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45075</v>
      </c>
      <c r="E367" s="1" t="n">
        <v>46315</v>
      </c>
      <c r="F367" t="inlineStr">
        <is>
          <t>HALLANDS LÄN</t>
        </is>
      </c>
      <c r="G367" t="inlineStr">
        <is>
          <t>LAHOLM</t>
        </is>
      </c>
      <c r="H367" t="inlineStr">
        <is>
          <t>Övriga Aktiebolag</t>
        </is>
      </c>
      <c r="I367" t="n">
        <v>5.9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61903-2023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45264</v>
      </c>
      <c r="E368" s="1" t="n">
        <v>46315</v>
      </c>
      <c r="F368" t="inlineStr">
        <is>
          <t>HALLANDS LÄN</t>
        </is>
      </c>
      <c r="G368" t="inlineStr">
        <is>
          <t>LAHOLM</t>
        </is>
      </c>
      <c r="I368" t="n">
        <v>1.7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34174-2026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46253</v>
      </c>
      <c r="E369" s="1" t="n">
        <v>46315</v>
      </c>
      <c r="F369" t="inlineStr">
        <is>
          <t>HALLANDS LÄN</t>
        </is>
      </c>
      <c r="G369" t="inlineStr">
        <is>
          <t>LAHOLM</t>
        </is>
      </c>
      <c r="I369" t="n">
        <v>1.7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50130-2022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44865</v>
      </c>
      <c r="E370" s="1" t="n">
        <v>46315</v>
      </c>
      <c r="F370" t="inlineStr">
        <is>
          <t>HALLANDS LÄN</t>
        </is>
      </c>
      <c r="G370" t="inlineStr">
        <is>
          <t>LAHOLM</t>
        </is>
      </c>
      <c r="H370" t="inlineStr">
        <is>
          <t>Sveaskog</t>
        </is>
      </c>
      <c r="I370" t="n">
        <v>0.9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48446-2023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45206</v>
      </c>
      <c r="E371" s="1" t="n">
        <v>46315</v>
      </c>
      <c r="F371" t="inlineStr">
        <is>
          <t>HALLANDS LÄN</t>
        </is>
      </c>
      <c r="G371" t="inlineStr">
        <is>
          <t>LAHOLM</t>
        </is>
      </c>
      <c r="I371" t="n">
        <v>6.5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33787-2026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46251</v>
      </c>
      <c r="E372" s="1" t="n">
        <v>46315</v>
      </c>
      <c r="F372" t="inlineStr">
        <is>
          <t>HALLANDS LÄN</t>
        </is>
      </c>
      <c r="G372" t="inlineStr">
        <is>
          <t>LAHOLM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7780-2024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45349</v>
      </c>
      <c r="E373" s="1" t="n">
        <v>46315</v>
      </c>
      <c r="F373" t="inlineStr">
        <is>
          <t>HALLANDS LÄN</t>
        </is>
      </c>
      <c r="G373" t="inlineStr">
        <is>
          <t>LAHOLM</t>
        </is>
      </c>
      <c r="I373" t="n">
        <v>2.5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17823-2025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45758</v>
      </c>
      <c r="E374" s="1" t="n">
        <v>46315</v>
      </c>
      <c r="F374" t="inlineStr">
        <is>
          <t>HALLANDS LÄN</t>
        </is>
      </c>
      <c r="G374" t="inlineStr">
        <is>
          <t>LAHOLM</t>
        </is>
      </c>
      <c r="I374" t="n">
        <v>8.9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40870-2026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46297</v>
      </c>
      <c r="E375" s="1" t="n">
        <v>46315</v>
      </c>
      <c r="F375" t="inlineStr">
        <is>
          <t>HALLANDS LÄN</t>
        </is>
      </c>
      <c r="G375" t="inlineStr">
        <is>
          <t>LAHOLM</t>
        </is>
      </c>
      <c r="I375" t="n">
        <v>2.8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40862-2026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46297</v>
      </c>
      <c r="E376" s="1" t="n">
        <v>46315</v>
      </c>
      <c r="F376" t="inlineStr">
        <is>
          <t>HALLANDS LÄN</t>
        </is>
      </c>
      <c r="G376" t="inlineStr">
        <is>
          <t>LAHOLM</t>
        </is>
      </c>
      <c r="I376" t="n">
        <v>1.7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42103-2025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45903</v>
      </c>
      <c r="E377" s="1" t="n">
        <v>46315</v>
      </c>
      <c r="F377" t="inlineStr">
        <is>
          <t>HALLANDS LÄN</t>
        </is>
      </c>
      <c r="G377" t="inlineStr">
        <is>
          <t>LAHOLM</t>
        </is>
      </c>
      <c r="I377" t="n">
        <v>9.6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57543-2023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45246</v>
      </c>
      <c r="E378" s="1" t="n">
        <v>46315</v>
      </c>
      <c r="F378" t="inlineStr">
        <is>
          <t>HALLANDS LÄN</t>
        </is>
      </c>
      <c r="G378" t="inlineStr">
        <is>
          <t>LAHOLM</t>
        </is>
      </c>
      <c r="H378" t="inlineStr">
        <is>
          <t>Kommuner</t>
        </is>
      </c>
      <c r="I378" t="n">
        <v>1.1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40987-2026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46297</v>
      </c>
      <c r="E379" s="1" t="n">
        <v>46315</v>
      </c>
      <c r="F379" t="inlineStr">
        <is>
          <t>HALLANDS LÄN</t>
        </is>
      </c>
      <c r="G379" t="inlineStr">
        <is>
          <t>LAHOLM</t>
        </is>
      </c>
      <c r="I379" t="n">
        <v>1.3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61498-2024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45646</v>
      </c>
      <c r="E380" s="1" t="n">
        <v>46315</v>
      </c>
      <c r="F380" t="inlineStr">
        <is>
          <t>HALLANDS LÄN</t>
        </is>
      </c>
      <c r="G380" t="inlineStr">
        <is>
          <t>LAHOLM</t>
        </is>
      </c>
      <c r="I380" t="n">
        <v>0.7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45354-2024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45576</v>
      </c>
      <c r="E381" s="1" t="n">
        <v>46315</v>
      </c>
      <c r="F381" t="inlineStr">
        <is>
          <t>HALLANDS LÄN</t>
        </is>
      </c>
      <c r="G381" t="inlineStr">
        <is>
          <t>LAHOLM</t>
        </is>
      </c>
      <c r="I381" t="n">
        <v>2.8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40942-2026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46297</v>
      </c>
      <c r="E382" s="1" t="n">
        <v>46315</v>
      </c>
      <c r="F382" t="inlineStr">
        <is>
          <t>HALLANDS LÄN</t>
        </is>
      </c>
      <c r="G382" t="inlineStr">
        <is>
          <t>LAHOLM</t>
        </is>
      </c>
      <c r="I382" t="n">
        <v>1.1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34771-2026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46255</v>
      </c>
      <c r="E383" s="1" t="n">
        <v>46315</v>
      </c>
      <c r="F383" t="inlineStr">
        <is>
          <t>HALLANDS LÄN</t>
        </is>
      </c>
      <c r="G383" t="inlineStr">
        <is>
          <t>LAHOLM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36930-2024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45538</v>
      </c>
      <c r="E384" s="1" t="n">
        <v>46315</v>
      </c>
      <c r="F384" t="inlineStr">
        <is>
          <t>HALLANDS LÄN</t>
        </is>
      </c>
      <c r="G384" t="inlineStr">
        <is>
          <t>LAHOLM</t>
        </is>
      </c>
      <c r="I384" t="n">
        <v>5.2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5904-2025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45695</v>
      </c>
      <c r="E385" s="1" t="n">
        <v>46315</v>
      </c>
      <c r="F385" t="inlineStr">
        <is>
          <t>HALLANDS LÄN</t>
        </is>
      </c>
      <c r="G385" t="inlineStr">
        <is>
          <t>LAHOLM</t>
        </is>
      </c>
      <c r="I385" t="n">
        <v>1.4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63283-2023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45273</v>
      </c>
      <c r="E386" s="1" t="n">
        <v>46315</v>
      </c>
      <c r="F386" t="inlineStr">
        <is>
          <t>HALLANDS LÄN</t>
        </is>
      </c>
      <c r="G386" t="inlineStr">
        <is>
          <t>LAHOLM</t>
        </is>
      </c>
      <c r="I386" t="n">
        <v>2.1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12661-2023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45000</v>
      </c>
      <c r="E387" s="1" t="n">
        <v>46315</v>
      </c>
      <c r="F387" t="inlineStr">
        <is>
          <t>HALLANDS LÄN</t>
        </is>
      </c>
      <c r="G387" t="inlineStr">
        <is>
          <t>LAHOLM</t>
        </is>
      </c>
      <c r="I387" t="n">
        <v>1.3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47586-2024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45587</v>
      </c>
      <c r="E388" s="1" t="n">
        <v>46315</v>
      </c>
      <c r="F388" t="inlineStr">
        <is>
          <t>HALLANDS LÄN</t>
        </is>
      </c>
      <c r="G388" t="inlineStr">
        <is>
          <t>LAHOLM</t>
        </is>
      </c>
      <c r="I388" t="n">
        <v>1.5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60830-2024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45644</v>
      </c>
      <c r="E389" s="1" t="n">
        <v>46315</v>
      </c>
      <c r="F389" t="inlineStr">
        <is>
          <t>HALLANDS LÄN</t>
        </is>
      </c>
      <c r="G389" t="inlineStr">
        <is>
          <t>LAHOLM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57634-2025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45981</v>
      </c>
      <c r="E390" s="1" t="n">
        <v>46315</v>
      </c>
      <c r="F390" t="inlineStr">
        <is>
          <t>HALLANDS LÄN</t>
        </is>
      </c>
      <c r="G390" t="inlineStr">
        <is>
          <t>LAHOLM</t>
        </is>
      </c>
      <c r="I390" t="n">
        <v>0.7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35001-2026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46259</v>
      </c>
      <c r="E391" s="1" t="n">
        <v>46315</v>
      </c>
      <c r="F391" t="inlineStr">
        <is>
          <t>HALLANDS LÄN</t>
        </is>
      </c>
      <c r="G391" t="inlineStr">
        <is>
          <t>LAHOLM</t>
        </is>
      </c>
      <c r="I391" t="n">
        <v>0.9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52986-2025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45957</v>
      </c>
      <c r="E392" s="1" t="n">
        <v>46315</v>
      </c>
      <c r="F392" t="inlineStr">
        <is>
          <t>HALLANDS LÄN</t>
        </is>
      </c>
      <c r="G392" t="inlineStr">
        <is>
          <t>LAHOLM</t>
        </is>
      </c>
      <c r="I392" t="n">
        <v>2.2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41935-2026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46303</v>
      </c>
      <c r="E393" s="1" t="n">
        <v>46315</v>
      </c>
      <c r="F393" t="inlineStr">
        <is>
          <t>HALLANDS LÄN</t>
        </is>
      </c>
      <c r="G393" t="inlineStr">
        <is>
          <t>LAHOLM</t>
        </is>
      </c>
      <c r="I393" t="n">
        <v>2.6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42356-2026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46307</v>
      </c>
      <c r="E394" s="1" t="n">
        <v>46315</v>
      </c>
      <c r="F394" t="inlineStr">
        <is>
          <t>HALLANDS LÄN</t>
        </is>
      </c>
      <c r="G394" t="inlineStr">
        <is>
          <t>LAHOLM</t>
        </is>
      </c>
      <c r="I394" t="n">
        <v>1.5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42372-2026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46307</v>
      </c>
      <c r="E395" s="1" t="n">
        <v>46315</v>
      </c>
      <c r="F395" t="inlineStr">
        <is>
          <t>HALLANDS LÄN</t>
        </is>
      </c>
      <c r="G395" t="inlineStr">
        <is>
          <t>LAHOLM</t>
        </is>
      </c>
      <c r="I395" t="n">
        <v>0.6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40809-2023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45171</v>
      </c>
      <c r="E396" s="1" t="n">
        <v>46315</v>
      </c>
      <c r="F396" t="inlineStr">
        <is>
          <t>HALLANDS LÄN</t>
        </is>
      </c>
      <c r="G396" t="inlineStr">
        <is>
          <t>LAHOLM</t>
        </is>
      </c>
      <c r="I396" t="n">
        <v>1.2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29637-2025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45825</v>
      </c>
      <c r="E397" s="1" t="n">
        <v>46315</v>
      </c>
      <c r="F397" t="inlineStr">
        <is>
          <t>HALLANDS LÄN</t>
        </is>
      </c>
      <c r="G397" t="inlineStr">
        <is>
          <t>LAHOLM</t>
        </is>
      </c>
      <c r="I397" t="n">
        <v>4.8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34774-2026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46255</v>
      </c>
      <c r="E398" s="1" t="n">
        <v>46315</v>
      </c>
      <c r="F398" t="inlineStr">
        <is>
          <t>HALLANDS LÄN</t>
        </is>
      </c>
      <c r="G398" t="inlineStr">
        <is>
          <t>LAHOLM</t>
        </is>
      </c>
      <c r="I398" t="n">
        <v>4.5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36282-2026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46268</v>
      </c>
      <c r="E399" s="1" t="n">
        <v>46315</v>
      </c>
      <c r="F399" t="inlineStr">
        <is>
          <t>HALLANDS LÄN</t>
        </is>
      </c>
      <c r="G399" t="inlineStr">
        <is>
          <t>LAHOLM</t>
        </is>
      </c>
      <c r="I399" t="n">
        <v>4.8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36520-2026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46269</v>
      </c>
      <c r="E400" s="1" t="n">
        <v>46315</v>
      </c>
      <c r="F400" t="inlineStr">
        <is>
          <t>HALLANDS LÄN</t>
        </is>
      </c>
      <c r="G400" t="inlineStr">
        <is>
          <t>LAHOLM</t>
        </is>
      </c>
      <c r="I400" t="n">
        <v>3.6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43076-2026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46311</v>
      </c>
      <c r="E401" s="1" t="n">
        <v>46315</v>
      </c>
      <c r="F401" t="inlineStr">
        <is>
          <t>HALLANDS LÄN</t>
        </is>
      </c>
      <c r="G401" t="inlineStr">
        <is>
          <t>LAHOLM</t>
        </is>
      </c>
      <c r="I401" t="n">
        <v>1.3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43157-2026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46311</v>
      </c>
      <c r="E402" s="1" t="n">
        <v>46315</v>
      </c>
      <c r="F402" t="inlineStr">
        <is>
          <t>HALLANDS LÄN</t>
        </is>
      </c>
      <c r="G402" t="inlineStr">
        <is>
          <t>LAHOLM</t>
        </is>
      </c>
      <c r="I402" t="n">
        <v>1.3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33798-2025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45842</v>
      </c>
      <c r="E403" s="1" t="n">
        <v>46315</v>
      </c>
      <c r="F403" t="inlineStr">
        <is>
          <t>HALLANDS LÄN</t>
        </is>
      </c>
      <c r="G403" t="inlineStr">
        <is>
          <t>LAHOLM</t>
        </is>
      </c>
      <c r="I403" t="n">
        <v>5.1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33802-2025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45842</v>
      </c>
      <c r="E404" s="1" t="n">
        <v>46315</v>
      </c>
      <c r="F404" t="inlineStr">
        <is>
          <t>HALLANDS LÄN</t>
        </is>
      </c>
      <c r="G404" t="inlineStr">
        <is>
          <t>LAHOLM</t>
        </is>
      </c>
      <c r="I404" t="n">
        <v>0.8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629-2024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45299</v>
      </c>
      <c r="E405" s="1" t="n">
        <v>46315</v>
      </c>
      <c r="F405" t="inlineStr">
        <is>
          <t>HALLANDS LÄN</t>
        </is>
      </c>
      <c r="G405" t="inlineStr">
        <is>
          <t>LAHOLM</t>
        </is>
      </c>
      <c r="I405" t="n">
        <v>6.8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33997-2025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45843</v>
      </c>
      <c r="E406" s="1" t="n">
        <v>46315</v>
      </c>
      <c r="F406" t="inlineStr">
        <is>
          <t>HALLANDS LÄN</t>
        </is>
      </c>
      <c r="G406" t="inlineStr">
        <is>
          <t>LAHOLM</t>
        </is>
      </c>
      <c r="I406" t="n">
        <v>1.7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34867-2025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45849</v>
      </c>
      <c r="E407" s="1" t="n">
        <v>46315</v>
      </c>
      <c r="F407" t="inlineStr">
        <is>
          <t>HALLANDS LÄN</t>
        </is>
      </c>
      <c r="G407" t="inlineStr">
        <is>
          <t>LAHOLM</t>
        </is>
      </c>
      <c r="I407" t="n">
        <v>1.9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34817-2025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45849</v>
      </c>
      <c r="E408" s="1" t="n">
        <v>46315</v>
      </c>
      <c r="F408" t="inlineStr">
        <is>
          <t>HALLANDS LÄN</t>
        </is>
      </c>
      <c r="G408" t="inlineStr">
        <is>
          <t>LAHOLM</t>
        </is>
      </c>
      <c r="I408" t="n">
        <v>8.699999999999999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34844-2025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45849</v>
      </c>
      <c r="E409" s="1" t="n">
        <v>46315</v>
      </c>
      <c r="F409" t="inlineStr">
        <is>
          <t>HALLANDS LÄN</t>
        </is>
      </c>
      <c r="G409" t="inlineStr">
        <is>
          <t>LAHOLM</t>
        </is>
      </c>
      <c r="I409" t="n">
        <v>0.6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13085-2025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45734</v>
      </c>
      <c r="E410" s="1" t="n">
        <v>46315</v>
      </c>
      <c r="F410" t="inlineStr">
        <is>
          <t>HALLANDS LÄN</t>
        </is>
      </c>
      <c r="G410" t="inlineStr">
        <is>
          <t>LAHOLM</t>
        </is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39362-2026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46288</v>
      </c>
      <c r="E411" s="1" t="n">
        <v>46315</v>
      </c>
      <c r="F411" t="inlineStr">
        <is>
          <t>HALLANDS LÄN</t>
        </is>
      </c>
      <c r="G411" t="inlineStr">
        <is>
          <t>LAHOLM</t>
        </is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36753-2026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46272</v>
      </c>
      <c r="E412" s="1" t="n">
        <v>46315</v>
      </c>
      <c r="F412" t="inlineStr">
        <is>
          <t>HALLANDS LÄN</t>
        </is>
      </c>
      <c r="G412" t="inlineStr">
        <is>
          <t>LAHOLM</t>
        </is>
      </c>
      <c r="H412" t="inlineStr">
        <is>
          <t>Kommuner</t>
        </is>
      </c>
      <c r="I412" t="n">
        <v>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25478-2025</t>
        </is>
      </c>
      <c r="B413" t="inlineStr">
        <is>
          <t>avverkningsanmälan</t>
        </is>
      </c>
      <c r="C413" t="inlineStr">
        <is>
          <t>Avverkning för annat ändamål</t>
        </is>
      </c>
      <c r="D413" s="1" t="n">
        <v>45802</v>
      </c>
      <c r="E413" s="1" t="n">
        <v>46315</v>
      </c>
      <c r="F413" t="inlineStr">
        <is>
          <t>HALLANDS LÄN</t>
        </is>
      </c>
      <c r="G413" t="inlineStr">
        <is>
          <t>LAHOLM</t>
        </is>
      </c>
      <c r="I413" t="n">
        <v>1.1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6119-2023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44964</v>
      </c>
      <c r="E414" s="1" t="n">
        <v>46315</v>
      </c>
      <c r="F414" t="inlineStr">
        <is>
          <t>HALLANDS LÄN</t>
        </is>
      </c>
      <c r="G414" t="inlineStr">
        <is>
          <t>LAHOLM</t>
        </is>
      </c>
      <c r="I414" t="n">
        <v>0.9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58557-2022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44902</v>
      </c>
      <c r="E415" s="1" t="n">
        <v>46315</v>
      </c>
      <c r="F415" t="inlineStr">
        <is>
          <t>HALLANDS LÄN</t>
        </is>
      </c>
      <c r="G415" t="inlineStr">
        <is>
          <t>LAHOLM</t>
        </is>
      </c>
      <c r="I415" t="n">
        <v>1.2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3821-2023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44951</v>
      </c>
      <c r="E416" s="1" t="n">
        <v>46315</v>
      </c>
      <c r="F416" t="inlineStr">
        <is>
          <t>HALLANDS LÄN</t>
        </is>
      </c>
      <c r="G416" t="inlineStr">
        <is>
          <t>LAHOLM</t>
        </is>
      </c>
      <c r="I416" t="n">
        <v>4.1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28800-2023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45104</v>
      </c>
      <c r="E417" s="1" t="n">
        <v>46315</v>
      </c>
      <c r="F417" t="inlineStr">
        <is>
          <t>HALLANDS LÄN</t>
        </is>
      </c>
      <c r="G417" t="inlineStr">
        <is>
          <t>LAHOLM</t>
        </is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51549-2023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45222</v>
      </c>
      <c r="E418" s="1" t="n">
        <v>46315</v>
      </c>
      <c r="F418" t="inlineStr">
        <is>
          <t>HALLANDS LÄN</t>
        </is>
      </c>
      <c r="G418" t="inlineStr">
        <is>
          <t>LAHOLM</t>
        </is>
      </c>
      <c r="I418" t="n">
        <v>1.1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3860-2024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45322</v>
      </c>
      <c r="E419" s="1" t="n">
        <v>46315</v>
      </c>
      <c r="F419" t="inlineStr">
        <is>
          <t>HALLANDS LÄN</t>
        </is>
      </c>
      <c r="G419" t="inlineStr">
        <is>
          <t>LAHOLM</t>
        </is>
      </c>
      <c r="I419" t="n">
        <v>2.4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25590-2023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45089</v>
      </c>
      <c r="E420" s="1" t="n">
        <v>46315</v>
      </c>
      <c r="F420" t="inlineStr">
        <is>
          <t>HALLANDS LÄN</t>
        </is>
      </c>
      <c r="G420" t="inlineStr">
        <is>
          <t>LAHOLM</t>
        </is>
      </c>
      <c r="I420" t="n">
        <v>1.6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40467-2024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45555</v>
      </c>
      <c r="E421" s="1" t="n">
        <v>46315</v>
      </c>
      <c r="F421" t="inlineStr">
        <is>
          <t>HALLANDS LÄN</t>
        </is>
      </c>
      <c r="G421" t="inlineStr">
        <is>
          <t>LAHOLM</t>
        </is>
      </c>
      <c r="I421" t="n">
        <v>4.8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29704-2024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45485</v>
      </c>
      <c r="E422" s="1" t="n">
        <v>46315</v>
      </c>
      <c r="F422" t="inlineStr">
        <is>
          <t>HALLANDS LÄN</t>
        </is>
      </c>
      <c r="G422" t="inlineStr">
        <is>
          <t>LAHOLM</t>
        </is>
      </c>
      <c r="I422" t="n">
        <v>0.5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37319-2023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45156</v>
      </c>
      <c r="E423" s="1" t="n">
        <v>46315</v>
      </c>
      <c r="F423" t="inlineStr">
        <is>
          <t>HALLANDS LÄN</t>
        </is>
      </c>
      <c r="G423" t="inlineStr">
        <is>
          <t>LAHOLM</t>
        </is>
      </c>
      <c r="I423" t="n">
        <v>0.5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37322-2023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45156</v>
      </c>
      <c r="E424" s="1" t="n">
        <v>46315</v>
      </c>
      <c r="F424" t="inlineStr">
        <is>
          <t>HALLANDS LÄN</t>
        </is>
      </c>
      <c r="G424" t="inlineStr">
        <is>
          <t>LAHOLM</t>
        </is>
      </c>
      <c r="I424" t="n">
        <v>0.9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65916-2021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44517</v>
      </c>
      <c r="E425" s="1" t="n">
        <v>46315</v>
      </c>
      <c r="F425" t="inlineStr">
        <is>
          <t>HALLANDS LÄN</t>
        </is>
      </c>
      <c r="G425" t="inlineStr">
        <is>
          <t>LAHOLM</t>
        </is>
      </c>
      <c r="I425" t="n">
        <v>1.5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29349-2025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45824</v>
      </c>
      <c r="E426" s="1" t="n">
        <v>46315</v>
      </c>
      <c r="F426" t="inlineStr">
        <is>
          <t>HALLANDS LÄN</t>
        </is>
      </c>
      <c r="G426" t="inlineStr">
        <is>
          <t>LAHOLM</t>
        </is>
      </c>
      <c r="I426" t="n">
        <v>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5868-2025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45695</v>
      </c>
      <c r="E427" s="1" t="n">
        <v>46315</v>
      </c>
      <c r="F427" t="inlineStr">
        <is>
          <t>HALLANDS LÄN</t>
        </is>
      </c>
      <c r="G427" t="inlineStr">
        <is>
          <t>LAHOLM</t>
        </is>
      </c>
      <c r="I427" t="n">
        <v>0.8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23160-2024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45450</v>
      </c>
      <c r="E428" s="1" t="n">
        <v>46315</v>
      </c>
      <c r="F428" t="inlineStr">
        <is>
          <t>HALLANDS LÄN</t>
        </is>
      </c>
      <c r="G428" t="inlineStr">
        <is>
          <t>LAHOLM</t>
        </is>
      </c>
      <c r="I428" t="n">
        <v>2.8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27226-2023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45096</v>
      </c>
      <c r="E429" s="1" t="n">
        <v>46315</v>
      </c>
      <c r="F429" t="inlineStr">
        <is>
          <t>HALLANDS LÄN</t>
        </is>
      </c>
      <c r="G429" t="inlineStr">
        <is>
          <t>LAHOLM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39903-2023</t>
        </is>
      </c>
      <c r="B430" t="inlineStr">
        <is>
          <t>avverkningsanmälan</t>
        </is>
      </c>
      <c r="C430" t="inlineStr">
        <is>
          <t>Avverkning för annat ändamål</t>
        </is>
      </c>
      <c r="D430" s="1" t="n">
        <v>45168</v>
      </c>
      <c r="E430" s="1" t="n">
        <v>46315</v>
      </c>
      <c r="F430" t="inlineStr">
        <is>
          <t>HALLANDS LÄN</t>
        </is>
      </c>
      <c r="G430" t="inlineStr">
        <is>
          <t>LAHOLM</t>
        </is>
      </c>
      <c r="I430" t="n">
        <v>3.1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16350-2025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45751</v>
      </c>
      <c r="E431" s="1" t="n">
        <v>46315</v>
      </c>
      <c r="F431" t="inlineStr">
        <is>
          <t>HALLANDS LÄN</t>
        </is>
      </c>
      <c r="G431" t="inlineStr">
        <is>
          <t>LAHOLM</t>
        </is>
      </c>
      <c r="I431" t="n">
        <v>4.8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40481-2023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45170</v>
      </c>
      <c r="E432" s="1" t="n">
        <v>46315</v>
      </c>
      <c r="F432" t="inlineStr">
        <is>
          <t>HALLANDS LÄN</t>
        </is>
      </c>
      <c r="G432" t="inlineStr">
        <is>
          <t>LAHOLM</t>
        </is>
      </c>
      <c r="I432" t="n">
        <v>1.6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6911-2024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45343</v>
      </c>
      <c r="E433" s="1" t="n">
        <v>46315</v>
      </c>
      <c r="F433" t="inlineStr">
        <is>
          <t>HALLANDS LÄN</t>
        </is>
      </c>
      <c r="G433" t="inlineStr">
        <is>
          <t>LAHOLM</t>
        </is>
      </c>
      <c r="I433" t="n">
        <v>2.1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12448-2025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45730</v>
      </c>
      <c r="E434" s="1" t="n">
        <v>46315</v>
      </c>
      <c r="F434" t="inlineStr">
        <is>
          <t>HALLANDS LÄN</t>
        </is>
      </c>
      <c r="G434" t="inlineStr">
        <is>
          <t>LAHOLM</t>
        </is>
      </c>
      <c r="I434" t="n">
        <v>1.3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23582-2025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45792</v>
      </c>
      <c r="E435" s="1" t="n">
        <v>46315</v>
      </c>
      <c r="F435" t="inlineStr">
        <is>
          <t>HALLANDS LÄN</t>
        </is>
      </c>
      <c r="G435" t="inlineStr">
        <is>
          <t>LAHOLM</t>
        </is>
      </c>
      <c r="I435" t="n">
        <v>3.2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26920-2023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45093</v>
      </c>
      <c r="E436" s="1" t="n">
        <v>46315</v>
      </c>
      <c r="F436" t="inlineStr">
        <is>
          <t>HALLANDS LÄN</t>
        </is>
      </c>
      <c r="G436" t="inlineStr">
        <is>
          <t>LAHOLM</t>
        </is>
      </c>
      <c r="I436" t="n">
        <v>1.5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3832-2023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44951</v>
      </c>
      <c r="E437" s="1" t="n">
        <v>46315</v>
      </c>
      <c r="F437" t="inlineStr">
        <is>
          <t>HALLANDS LÄN</t>
        </is>
      </c>
      <c r="G437" t="inlineStr">
        <is>
          <t>LAHOLM</t>
        </is>
      </c>
      <c r="I437" t="n">
        <v>6.2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59921-2022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44909</v>
      </c>
      <c r="E438" s="1" t="n">
        <v>46315</v>
      </c>
      <c r="F438" t="inlineStr">
        <is>
          <t>HALLANDS LÄN</t>
        </is>
      </c>
      <c r="G438" t="inlineStr">
        <is>
          <t>LAHOLM</t>
        </is>
      </c>
      <c r="I438" t="n">
        <v>1.3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13326-2022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44645</v>
      </c>
      <c r="E439" s="1" t="n">
        <v>46315</v>
      </c>
      <c r="F439" t="inlineStr">
        <is>
          <t>HALLANDS LÄN</t>
        </is>
      </c>
      <c r="G439" t="inlineStr">
        <is>
          <t>LAHOLM</t>
        </is>
      </c>
      <c r="I439" t="n">
        <v>1.1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8574-2023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44977</v>
      </c>
      <c r="E440" s="1" t="n">
        <v>46315</v>
      </c>
      <c r="F440" t="inlineStr">
        <is>
          <t>HALLANDS LÄN</t>
        </is>
      </c>
      <c r="G440" t="inlineStr">
        <is>
          <t>LAHOLM</t>
        </is>
      </c>
      <c r="I440" t="n">
        <v>3.2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73894-2021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44553</v>
      </c>
      <c r="E441" s="1" t="n">
        <v>46315</v>
      </c>
      <c r="F441" t="inlineStr">
        <is>
          <t>HALLANDS LÄN</t>
        </is>
      </c>
      <c r="G441" t="inlineStr">
        <is>
          <t>LAHOLM</t>
        </is>
      </c>
      <c r="I441" t="n">
        <v>0.9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9972-2024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45363</v>
      </c>
      <c r="E442" s="1" t="n">
        <v>46315</v>
      </c>
      <c r="F442" t="inlineStr">
        <is>
          <t>HALLANDS LÄN</t>
        </is>
      </c>
      <c r="G442" t="inlineStr">
        <is>
          <t>LAHOLM</t>
        </is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40316-2024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45554</v>
      </c>
      <c r="E443" s="1" t="n">
        <v>46315</v>
      </c>
      <c r="F443" t="inlineStr">
        <is>
          <t>HALLANDS LÄN</t>
        </is>
      </c>
      <c r="G443" t="inlineStr">
        <is>
          <t>LAHOLM</t>
        </is>
      </c>
      <c r="I443" t="n">
        <v>4.1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38242-2024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45545</v>
      </c>
      <c r="E444" s="1" t="n">
        <v>46315</v>
      </c>
      <c r="F444" t="inlineStr">
        <is>
          <t>HALLANDS LÄN</t>
        </is>
      </c>
      <c r="G444" t="inlineStr">
        <is>
          <t>LAHOLM</t>
        </is>
      </c>
      <c r="I444" t="n">
        <v>0.8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40468-2024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45555</v>
      </c>
      <c r="E445" s="1" t="n">
        <v>46315</v>
      </c>
      <c r="F445" t="inlineStr">
        <is>
          <t>HALLANDS LÄN</t>
        </is>
      </c>
      <c r="G445" t="inlineStr">
        <is>
          <t>LAHOLM</t>
        </is>
      </c>
      <c r="I445" t="n">
        <v>6.5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22253-2023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45070</v>
      </c>
      <c r="E446" s="1" t="n">
        <v>46315</v>
      </c>
      <c r="F446" t="inlineStr">
        <is>
          <t>HALLANDS LÄN</t>
        </is>
      </c>
      <c r="G446" t="inlineStr">
        <is>
          <t>LAHOLM</t>
        </is>
      </c>
      <c r="I446" t="n">
        <v>1.2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52520-2023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45225</v>
      </c>
      <c r="E447" s="1" t="n">
        <v>46315</v>
      </c>
      <c r="F447" t="inlineStr">
        <is>
          <t>HALLANDS LÄN</t>
        </is>
      </c>
      <c r="G447" t="inlineStr">
        <is>
          <t>LAHOLM</t>
        </is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12439-2025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45730</v>
      </c>
      <c r="E448" s="1" t="n">
        <v>46315</v>
      </c>
      <c r="F448" t="inlineStr">
        <is>
          <t>HALLANDS LÄN</t>
        </is>
      </c>
      <c r="G448" t="inlineStr">
        <is>
          <t>LAHOLM</t>
        </is>
      </c>
      <c r="I448" t="n">
        <v>2.6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53909-2022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44880</v>
      </c>
      <c r="E449" s="1" t="n">
        <v>46315</v>
      </c>
      <c r="F449" t="inlineStr">
        <is>
          <t>HALLANDS LÄN</t>
        </is>
      </c>
      <c r="G449" t="inlineStr">
        <is>
          <t>LAHOLM</t>
        </is>
      </c>
      <c r="I449" t="n">
        <v>2.1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58771-2024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45635</v>
      </c>
      <c r="E450" s="1" t="n">
        <v>46315</v>
      </c>
      <c r="F450" t="inlineStr">
        <is>
          <t>HALLANDS LÄN</t>
        </is>
      </c>
      <c r="G450" t="inlineStr">
        <is>
          <t>LAHOLM</t>
        </is>
      </c>
      <c r="I450" t="n">
        <v>2.3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29868-2025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45826</v>
      </c>
      <c r="E451" s="1" t="n">
        <v>46315</v>
      </c>
      <c r="F451" t="inlineStr">
        <is>
          <t>HALLANDS LÄN</t>
        </is>
      </c>
      <c r="G451" t="inlineStr">
        <is>
          <t>LAHOLM</t>
        </is>
      </c>
      <c r="I451" t="n">
        <v>1.2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40465-2024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45555</v>
      </c>
      <c r="E452" s="1" t="n">
        <v>46315</v>
      </c>
      <c r="F452" t="inlineStr">
        <is>
          <t>HALLANDS LÄN</t>
        </is>
      </c>
      <c r="G452" t="inlineStr">
        <is>
          <t>LAHOLM</t>
        </is>
      </c>
      <c r="I452" t="n">
        <v>1.9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63674-2023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45275</v>
      </c>
      <c r="E453" s="1" t="n">
        <v>46315</v>
      </c>
      <c r="F453" t="inlineStr">
        <is>
          <t>HALLANDS LÄN</t>
        </is>
      </c>
      <c r="G453" t="inlineStr">
        <is>
          <t>LAHOLM</t>
        </is>
      </c>
      <c r="I453" t="n">
        <v>1.1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6123-2023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44964</v>
      </c>
      <c r="E454" s="1" t="n">
        <v>46315</v>
      </c>
      <c r="F454" t="inlineStr">
        <is>
          <t>HALLANDS LÄN</t>
        </is>
      </c>
      <c r="G454" t="inlineStr">
        <is>
          <t>LAHOLM</t>
        </is>
      </c>
      <c r="I454" t="n">
        <v>5.7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8575-2023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44977</v>
      </c>
      <c r="E455" s="1" t="n">
        <v>46315</v>
      </c>
      <c r="F455" t="inlineStr">
        <is>
          <t>HALLANDS LÄN</t>
        </is>
      </c>
      <c r="G455" t="inlineStr">
        <is>
          <t>LAHOLM</t>
        </is>
      </c>
      <c r="I455" t="n">
        <v>6.1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35603-2023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45147</v>
      </c>
      <c r="E456" s="1" t="n">
        <v>46315</v>
      </c>
      <c r="F456" t="inlineStr">
        <is>
          <t>HALLANDS LÄN</t>
        </is>
      </c>
      <c r="G456" t="inlineStr">
        <is>
          <t>LAHOLM</t>
        </is>
      </c>
      <c r="I456" t="n">
        <v>1.4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28789-2023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45104</v>
      </c>
      <c r="E457" s="1" t="n">
        <v>46315</v>
      </c>
      <c r="F457" t="inlineStr">
        <is>
          <t>HALLANDS LÄN</t>
        </is>
      </c>
      <c r="G457" t="inlineStr">
        <is>
          <t>LAHOLM</t>
        </is>
      </c>
      <c r="I457" t="n">
        <v>10.8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43437-2023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45184</v>
      </c>
      <c r="E458" s="1" t="n">
        <v>46315</v>
      </c>
      <c r="F458" t="inlineStr">
        <is>
          <t>HALLANDS LÄN</t>
        </is>
      </c>
      <c r="G458" t="inlineStr">
        <is>
          <t>LAHOLM</t>
        </is>
      </c>
      <c r="I458" t="n">
        <v>2.6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63675-2023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45275</v>
      </c>
      <c r="E459" s="1" t="n">
        <v>46315</v>
      </c>
      <c r="F459" t="inlineStr">
        <is>
          <t>HALLANDS LÄN</t>
        </is>
      </c>
      <c r="G459" t="inlineStr">
        <is>
          <t>LAHOLM</t>
        </is>
      </c>
      <c r="I459" t="n">
        <v>0.6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S 1918-2024</t>
        </is>
      </c>
      <c r="B460" t="inlineStr">
        <is>
          <t>samrådsanmälan</t>
        </is>
      </c>
      <c r="C460" t="inlineStr">
        <is>
          <t>Askåterföring</t>
        </is>
      </c>
      <c r="D460" s="1" t="n">
        <v>45442</v>
      </c>
      <c r="E460" s="1" t="n">
        <v>46315</v>
      </c>
      <c r="F460" t="inlineStr">
        <is>
          <t>HALLANDS LÄN</t>
        </is>
      </c>
      <c r="G460" t="inlineStr">
        <is>
          <t>LAHOLM</t>
        </is>
      </c>
      <c r="I460" t="n">
        <v>39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S 838-2023</t>
        </is>
      </c>
      <c r="B461" t="inlineStr">
        <is>
          <t>samrådsanmälan</t>
        </is>
      </c>
      <c r="C461" t="inlineStr">
        <is>
          <t>Annan skogsbruksåtgärd</t>
        </is>
      </c>
      <c r="D461" s="1" t="n">
        <v>44992</v>
      </c>
      <c r="E461" s="1" t="n">
        <v>46315</v>
      </c>
      <c r="F461" t="inlineStr">
        <is>
          <t>HALLANDS LÄN</t>
        </is>
      </c>
      <c r="G461" t="inlineStr">
        <is>
          <t>LAHOLM</t>
        </is>
      </c>
      <c r="H461" t="inlineStr">
        <is>
          <t>Kommuner</t>
        </is>
      </c>
      <c r="I461" t="n">
        <v>6.6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S 878-2023</t>
        </is>
      </c>
      <c r="B462" t="inlineStr">
        <is>
          <t>samrådsanmälan</t>
        </is>
      </c>
      <c r="C462" t="inlineStr">
        <is>
          <t>Annan skogsbruksåtgärd</t>
        </is>
      </c>
      <c r="D462" s="1" t="n">
        <v>44995</v>
      </c>
      <c r="E462" s="1" t="n">
        <v>46315</v>
      </c>
      <c r="F462" t="inlineStr">
        <is>
          <t>HALLANDS LÄN</t>
        </is>
      </c>
      <c r="G462" t="inlineStr">
        <is>
          <t>LAHOLM</t>
        </is>
      </c>
      <c r="I462" t="n">
        <v>0.7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S 9294-2021</t>
        </is>
      </c>
      <c r="B463" t="inlineStr">
        <is>
          <t>samrådsanmälan</t>
        </is>
      </c>
      <c r="C463" t="inlineStr">
        <is>
          <t>Skogsbilväg</t>
        </is>
      </c>
      <c r="D463" s="1" t="n">
        <v>44517</v>
      </c>
      <c r="E463" s="1" t="n">
        <v>46315</v>
      </c>
      <c r="F463" t="inlineStr">
        <is>
          <t>HALLANDS LÄN</t>
        </is>
      </c>
      <c r="G463" t="inlineStr">
        <is>
          <t>LAHOLM</t>
        </is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S 92-2023</t>
        </is>
      </c>
      <c r="B464" t="inlineStr">
        <is>
          <t>samrådsanmälan</t>
        </is>
      </c>
      <c r="C464" t="inlineStr">
        <is>
          <t>Askåterföring</t>
        </is>
      </c>
      <c r="D464" s="1" t="n">
        <v>44931</v>
      </c>
      <c r="E464" s="1" t="n">
        <v>46315</v>
      </c>
      <c r="F464" t="inlineStr">
        <is>
          <t>HALLANDS LÄN</t>
        </is>
      </c>
      <c r="G464" t="inlineStr">
        <is>
          <t>LAHOLM</t>
        </is>
      </c>
      <c r="I464" t="n">
        <v>85.90000000000001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S 5031-2024</t>
        </is>
      </c>
      <c r="B465" t="inlineStr">
        <is>
          <t>samrådsanmälan</t>
        </is>
      </c>
      <c r="C465" t="inlineStr">
        <is>
          <t>Annan skogsbruksåtgärd</t>
        </is>
      </c>
      <c r="D465" s="1" t="n">
        <v>45635</v>
      </c>
      <c r="E465" s="1" t="n">
        <v>46315</v>
      </c>
      <c r="F465" t="inlineStr">
        <is>
          <t>HALLANDS LÄN</t>
        </is>
      </c>
      <c r="G465" t="inlineStr">
        <is>
          <t>LAHOLM</t>
        </is>
      </c>
      <c r="I465" t="n">
        <v>1.2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S 1608-2025</t>
        </is>
      </c>
      <c r="B466" t="inlineStr">
        <is>
          <t>samrådsanmälan</t>
        </is>
      </c>
      <c r="C466" t="inlineStr">
        <is>
          <t>Askåterföring</t>
        </is>
      </c>
      <c r="D466" s="1" t="n">
        <v>45799</v>
      </c>
      <c r="E466" s="1" t="n">
        <v>46315</v>
      </c>
      <c r="F466" t="inlineStr">
        <is>
          <t>HALLANDS LÄN</t>
        </is>
      </c>
      <c r="G466" t="inlineStr">
        <is>
          <t>LAHOLM</t>
        </is>
      </c>
      <c r="I466" t="n">
        <v>24.4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S 2300-2025</t>
        </is>
      </c>
      <c r="B467" t="inlineStr">
        <is>
          <t>samrådsanmälan</t>
        </is>
      </c>
      <c r="C467" t="inlineStr">
        <is>
          <t>Askåterföring</t>
        </is>
      </c>
      <c r="D467" s="1" t="n">
        <v>45880</v>
      </c>
      <c r="E467" s="1" t="n">
        <v>46315</v>
      </c>
      <c r="F467" t="inlineStr">
        <is>
          <t>HALLANDS LÄN</t>
        </is>
      </c>
      <c r="G467" t="inlineStr">
        <is>
          <t>LAHOLM</t>
        </is>
      </c>
      <c r="I467" t="n">
        <v>55.6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S 2920-2025</t>
        </is>
      </c>
      <c r="B468" t="inlineStr">
        <is>
          <t>samrådsanmälan</t>
        </is>
      </c>
      <c r="C468" t="inlineStr">
        <is>
          <t>Askåterföring</t>
        </is>
      </c>
      <c r="D468" s="1" t="n">
        <v>45950</v>
      </c>
      <c r="E468" s="1" t="n">
        <v>46315</v>
      </c>
      <c r="F468" t="inlineStr">
        <is>
          <t>HALLANDS LÄN</t>
        </is>
      </c>
      <c r="G468" t="inlineStr">
        <is>
          <t>LAHOLM</t>
        </is>
      </c>
      <c r="I468" t="n">
        <v>30.1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S 68-2026</t>
        </is>
      </c>
      <c r="B469" t="inlineStr">
        <is>
          <t>samrådsanmälan</t>
        </is>
      </c>
      <c r="C469" t="inlineStr">
        <is>
          <t>Annan skogsbruksåtgärd</t>
        </is>
      </c>
      <c r="D469" s="1" t="n">
        <v>46035</v>
      </c>
      <c r="E469" s="1" t="n">
        <v>46315</v>
      </c>
      <c r="F469" t="inlineStr">
        <is>
          <t>HALLANDS LÄN</t>
        </is>
      </c>
      <c r="G469" t="inlineStr">
        <is>
          <t>LAHOLM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S 442-2026</t>
        </is>
      </c>
      <c r="B470" t="inlineStr">
        <is>
          <t>samrådsanmälan</t>
        </is>
      </c>
      <c r="C470" t="inlineStr">
        <is>
          <t>Annan skogsbruksåtgärd</t>
        </is>
      </c>
      <c r="D470" s="1" t="n">
        <v>46072</v>
      </c>
      <c r="E470" s="1" t="n">
        <v>46315</v>
      </c>
      <c r="F470" t="inlineStr">
        <is>
          <t>HALLANDS LÄN</t>
        </is>
      </c>
      <c r="G470" t="inlineStr">
        <is>
          <t>LAHOLM</t>
        </is>
      </c>
      <c r="I470" t="n">
        <v>0.7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S 673-2026</t>
        </is>
      </c>
      <c r="B471" t="inlineStr">
        <is>
          <t>samrådsanmälan</t>
        </is>
      </c>
      <c r="C471" t="inlineStr">
        <is>
          <t>Annan skogsbruksåtgärd</t>
        </is>
      </c>
      <c r="D471" s="1" t="n">
        <v>46091</v>
      </c>
      <c r="E471" s="1" t="n">
        <v>46315</v>
      </c>
      <c r="F471" t="inlineStr">
        <is>
          <t>HALLANDS LÄN</t>
        </is>
      </c>
      <c r="G471" t="inlineStr">
        <is>
          <t>LAHOLM</t>
        </is>
      </c>
      <c r="H471" t="inlineStr">
        <is>
          <t>Sveaskog</t>
        </is>
      </c>
      <c r="I471" t="n">
        <v>1.4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S 675-2026</t>
        </is>
      </c>
      <c r="B472" t="inlineStr">
        <is>
          <t>samrådsanmälan</t>
        </is>
      </c>
      <c r="C472" t="inlineStr">
        <is>
          <t>Annan skogsbruksåtgärd</t>
        </is>
      </c>
      <c r="D472" s="1" t="n">
        <v>46091</v>
      </c>
      <c r="E472" s="1" t="n">
        <v>46315</v>
      </c>
      <c r="F472" t="inlineStr">
        <is>
          <t>HALLANDS LÄN</t>
        </is>
      </c>
      <c r="G472" t="inlineStr">
        <is>
          <t>LAHOLM</t>
        </is>
      </c>
      <c r="H472" t="inlineStr">
        <is>
          <t>Sveaskog</t>
        </is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S 674-2026</t>
        </is>
      </c>
      <c r="B473" t="inlineStr">
        <is>
          <t>samrådsanmälan</t>
        </is>
      </c>
      <c r="C473" t="inlineStr">
        <is>
          <t>Annan skogsbruksåtgärd</t>
        </is>
      </c>
      <c r="D473" s="1" t="n">
        <v>46091</v>
      </c>
      <c r="E473" s="1" t="n">
        <v>46315</v>
      </c>
      <c r="F473" t="inlineStr">
        <is>
          <t>HALLANDS LÄN</t>
        </is>
      </c>
      <c r="G473" t="inlineStr">
        <is>
          <t>LAHOLM</t>
        </is>
      </c>
      <c r="H473" t="inlineStr">
        <is>
          <t>Sveaskog</t>
        </is>
      </c>
      <c r="I473" t="n">
        <v>2.9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S 721-2026</t>
        </is>
      </c>
      <c r="B474" t="inlineStr">
        <is>
          <t>samrådsanmälan</t>
        </is>
      </c>
      <c r="C474" t="inlineStr">
        <is>
          <t>Askåterföring</t>
        </is>
      </c>
      <c r="D474" s="1" t="n">
        <v>46094</v>
      </c>
      <c r="E474" s="1" t="n">
        <v>46315</v>
      </c>
      <c r="F474" t="inlineStr">
        <is>
          <t>HALLANDS LÄN</t>
        </is>
      </c>
      <c r="G474" t="inlineStr">
        <is>
          <t>LAHOLM</t>
        </is>
      </c>
      <c r="I474" t="n">
        <v>27.6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S 765-2026</t>
        </is>
      </c>
      <c r="B475" t="inlineStr">
        <is>
          <t>samrådsanmälan</t>
        </is>
      </c>
      <c r="C475" t="inlineStr">
        <is>
          <t>Annan skogsbruksåtgärd</t>
        </is>
      </c>
      <c r="D475" s="1" t="n">
        <v>46098</v>
      </c>
      <c r="E475" s="1" t="n">
        <v>46315</v>
      </c>
      <c r="F475" t="inlineStr">
        <is>
          <t>HALLANDS LÄN</t>
        </is>
      </c>
      <c r="G475" t="inlineStr">
        <is>
          <t>LAHOLM</t>
        </is>
      </c>
      <c r="H475" t="inlineStr">
        <is>
          <t>Sveaskog</t>
        </is>
      </c>
      <c r="I475" t="n">
        <v>2.1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>
      <c r="A476" t="inlineStr">
        <is>
          <t>S 2493-2026</t>
        </is>
      </c>
      <c r="B476" t="inlineStr">
        <is>
          <t>samrådsanmälan</t>
        </is>
      </c>
      <c r="C476" t="inlineStr">
        <is>
          <t>Askåterföring</t>
        </is>
      </c>
      <c r="D476" s="1" t="n">
        <v>46288</v>
      </c>
      <c r="E476" s="1" t="n">
        <v>46315</v>
      </c>
      <c r="F476" t="inlineStr">
        <is>
          <t>HALLANDS LÄN</t>
        </is>
      </c>
      <c r="G476" t="inlineStr">
        <is>
          <t>LAHOLM</t>
        </is>
      </c>
      <c r="I476" t="n">
        <v>12.3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2026-10-20T01:50:38Z</dcterms:created>
  <dcterms:modified xmlns:dcterms="http://purl.org/dc/terms/" xmlns:xsi="http://www.w3.org/2001/XMLSchema-instance" xsi:type="dcterms:W3CDTF">2026-10-20T01:50:39Z</dcterms:modified>
</cp:coreProperties>
</file>