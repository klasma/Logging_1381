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46257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46257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46257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46257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46257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46257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46257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46257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45733-2022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46257</v>
      </c>
      <c r="F18" t="inlineStr">
        <is>
          <t>HALLANDS LÄN</t>
        </is>
      </c>
      <c r="G18" t="inlineStr">
        <is>
          <t>LAHOLM</t>
        </is>
      </c>
      <c r="I18" t="n">
        <v>0.9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Bokvårtlav
Platt fjädermossa</t>
        </is>
      </c>
      <c r="W18">
        <f>HYPERLINK("https://klasma.github.io/Logging_1381/artfynd/A 45733-2022 artfynd.xlsx", "A 45733-2022")</f>
        <v/>
      </c>
      <c r="X18">
        <f>HYPERLINK("https://klasma.github.io/Logging_1381/kartor/A 45733-2022 karta.png", "A 45733-2022")</f>
        <v/>
      </c>
      <c r="Y18">
        <f>HYPERLINK("https://klasma.github.io/Logging_1381/kartor_geotiff/A 45733-2022 georefererad karta.tif", "A 45733-2022")</f>
        <v/>
      </c>
      <c r="AA18">
        <f>HYPERLINK("https://klasma.github.io/Logging_1381/klagomål/A 45733-2022 FSC-klagomål.docx", "A 45733-2022")</f>
        <v/>
      </c>
      <c r="AB18">
        <f>HYPERLINK("https://klasma.github.io/Logging_1381/klagomålsmail/A 45733-2022 FSC-klagomål mail.docx", "A 45733-2022")</f>
        <v/>
      </c>
      <c r="AC18">
        <f>HYPERLINK("https://klasma.github.io/Logging_1381/tillsyn/A 45733-2022 tillsynsbegäran.docx", "A 45733-2022")</f>
        <v/>
      </c>
      <c r="AD18">
        <f>HYPERLINK("https://klasma.github.io/Logging_1381/tillsynsmail/A 45733-2022 tillsynsbegäran mail.docx", "A 45733-2022")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46257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46257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46257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46257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35897-2022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46257</v>
      </c>
      <c r="F26" t="inlineStr">
        <is>
          <t>HALLANDS LÄN</t>
        </is>
      </c>
      <c r="G26" t="inlineStr">
        <is>
          <t>LAHOLM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HYPERLINK("https://klasma.github.io/Logging_1381/artfynd/A 35897-2022 artfynd.xlsx", "A 35897-2022")</f>
        <v/>
      </c>
      <c r="X26">
        <f>HYPERLINK("https://klasma.github.io/Logging_1381/kartor/A 35897-2022 karta.png", "A 35897-2022")</f>
        <v/>
      </c>
      <c r="Y26">
        <f>HYPERLINK("https://klasma.github.io/Logging_1381/kartor_geotiff/A 35897-2022 georefererad karta.tif", "A 35897-2022")</f>
        <v/>
      </c>
      <c r="AA26">
        <f>HYPERLINK("https://klasma.github.io/Logging_1381/klagomål/A 35897-2022 FSC-klagomål.docx", "A 35897-2022")</f>
        <v/>
      </c>
      <c r="AB26">
        <f>HYPERLINK("https://klasma.github.io/Logging_1381/klagomålsmail/A 35897-2022 FSC-klagomål mail.docx", "A 35897-2022")</f>
        <v/>
      </c>
      <c r="AC26">
        <f>HYPERLINK("https://klasma.github.io/Logging_1381/tillsyn/A 35897-2022 tillsynsbegäran.docx", "A 35897-2022")</f>
        <v/>
      </c>
      <c r="AD26">
        <f>HYPERLINK("https://klasma.github.io/Logging_1381/tillsynsmail/A 35897-2022 tillsynsbegäran mail.docx", "A 35897-2022")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46257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46257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48972-2023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46257</v>
      </c>
      <c r="F29" t="inlineStr">
        <is>
          <t>HALLANDS LÄN</t>
        </is>
      </c>
      <c r="G29" t="inlineStr">
        <is>
          <t>LAHOLM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48972-2023 artfynd.xlsx", "A 48972-2023")</f>
        <v/>
      </c>
      <c r="X29">
        <f>HYPERLINK("https://klasma.github.io/Logging_1381/kartor/A 48972-2023 karta.png", "A 48972-2023")</f>
        <v/>
      </c>
      <c r="Y29">
        <f>HYPERLINK("https://klasma.github.io/Logging_1381/kartor_geotiff/A 48972-2023 georefererad karta.tif", "A 48972-2023")</f>
        <v/>
      </c>
      <c r="AA29">
        <f>HYPERLINK("https://klasma.github.io/Logging_1381/klagomål/A 48972-2023 FSC-klagomål.docx", "A 48972-2023")</f>
        <v/>
      </c>
      <c r="AB29">
        <f>HYPERLINK("https://klasma.github.io/Logging_1381/klagomålsmail/A 48972-2023 FSC-klagomål mail.docx", "A 48972-2023")</f>
        <v/>
      </c>
      <c r="AC29">
        <f>HYPERLINK("https://klasma.github.io/Logging_1381/tillsyn/A 48972-2023 tillsynsbegäran.docx", "A 48972-2023")</f>
        <v/>
      </c>
      <c r="AD29">
        <f>HYPERLINK("https://klasma.github.io/Logging_1381/tillsynsmail/A 48972-2023 tillsynsbegäran mail.docx", "A 48972-2023")</f>
        <v/>
      </c>
    </row>
    <row r="30" ht="15" customHeight="1">
      <c r="A30" t="inlineStr">
        <is>
          <t>A 12502-2025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45730</v>
      </c>
      <c r="E30" s="1" t="n">
        <v>46257</v>
      </c>
      <c r="F30" t="inlineStr">
        <is>
          <t>HALLANDS LÄN</t>
        </is>
      </c>
      <c r="G30" t="inlineStr">
        <is>
          <t>LAHOLM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12502-2025 artfynd.xlsx", "A 12502-2025")</f>
        <v/>
      </c>
      <c r="X30">
        <f>HYPERLINK("https://klasma.github.io/Logging_1381/kartor/A 12502-2025 karta.png", "A 12502-2025")</f>
        <v/>
      </c>
      <c r="Y30">
        <f>HYPERLINK("https://klasma.github.io/Logging_1381/kartor_geotiff/A 12502-2025 georefererad karta.tif", "A 12502-2025")</f>
        <v/>
      </c>
      <c r="AA30">
        <f>HYPERLINK("https://klasma.github.io/Logging_1381/klagomål/A 12502-2025 FSC-klagomål.docx", "A 12502-2025")</f>
        <v/>
      </c>
      <c r="AB30">
        <f>HYPERLINK("https://klasma.github.io/Logging_1381/klagomålsmail/A 12502-2025 FSC-klagomål mail.docx", "A 12502-2025")</f>
        <v/>
      </c>
      <c r="AC30">
        <f>HYPERLINK("https://klasma.github.io/Logging_1381/tillsyn/A 12502-2025 tillsynsbegäran.docx", "A 12502-2025")</f>
        <v/>
      </c>
      <c r="AD30">
        <f>HYPERLINK("https://klasma.github.io/Logging_1381/tillsynsmail/A 12502-2025 tillsynsbegäran mail.docx", "A 12502-2025")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46257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46257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46257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46257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46257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46257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46257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46257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46257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46257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46257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46257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46257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46257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46257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46257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46257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46257</v>
      </c>
      <c r="F48" t="inlineStr">
        <is>
          <t>HALLANDS LÄN</t>
        </is>
      </c>
      <c r="G48" t="inlineStr">
        <is>
          <t>LAHOLM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46257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46257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46257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46257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46257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46257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46257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46257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46257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46257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46257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46257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46257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46257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46257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46257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46257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46257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46257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46257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46257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46257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46257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46257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46257</v>
      </c>
      <c r="F73" t="inlineStr">
        <is>
          <t>HALLANDS LÄN</t>
        </is>
      </c>
      <c r="G73" t="inlineStr">
        <is>
          <t>LAHOLM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46257</v>
      </c>
      <c r="F74" t="inlineStr">
        <is>
          <t>HALLANDS LÄN</t>
        </is>
      </c>
      <c r="G74" t="inlineStr">
        <is>
          <t>LAHOLM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46257</v>
      </c>
      <c r="F75" t="inlineStr">
        <is>
          <t>HALLANDS LÄN</t>
        </is>
      </c>
      <c r="G75" t="inlineStr">
        <is>
          <t>LAHOLM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46257</v>
      </c>
      <c r="F76" t="inlineStr">
        <is>
          <t>HALLANDS LÄN</t>
        </is>
      </c>
      <c r="G76" t="inlineStr">
        <is>
          <t>LAHOLM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45562</v>
      </c>
      <c r="E77" s="1" t="n">
        <v>46257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46257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46257</v>
      </c>
      <c r="F79" t="inlineStr">
        <is>
          <t>HALLANDS LÄN</t>
        </is>
      </c>
      <c r="G79" t="inlineStr">
        <is>
          <t>LAHOLM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46257</v>
      </c>
      <c r="F80" t="inlineStr">
        <is>
          <t>HALLANDS LÄN</t>
        </is>
      </c>
      <c r="G80" t="inlineStr">
        <is>
          <t>LAHOLM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44943</v>
      </c>
      <c r="E81" s="1" t="n">
        <v>46257</v>
      </c>
      <c r="F81" t="inlineStr">
        <is>
          <t>HALLANDS LÄN</t>
        </is>
      </c>
      <c r="G81" t="inlineStr">
        <is>
          <t>LAHOLM</t>
        </is>
      </c>
      <c r="H81" t="inlineStr">
        <is>
          <t>Kommuner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46257</v>
      </c>
      <c r="F82" t="inlineStr">
        <is>
          <t>HALLANDS LÄN</t>
        </is>
      </c>
      <c r="G82" t="inlineStr">
        <is>
          <t>LAHOLM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46257</v>
      </c>
      <c r="F83" t="inlineStr">
        <is>
          <t>HALLANDS LÄN</t>
        </is>
      </c>
      <c r="G83" t="inlineStr">
        <is>
          <t>LAHOLM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46257</v>
      </c>
      <c r="F84" t="inlineStr">
        <is>
          <t>HALLANDS LÄN</t>
        </is>
      </c>
      <c r="G84" t="inlineStr">
        <is>
          <t>LAHOLM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46257</v>
      </c>
      <c r="F85" t="inlineStr">
        <is>
          <t>HALLANDS LÄN</t>
        </is>
      </c>
      <c r="G85" t="inlineStr">
        <is>
          <t>LAHOLM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45818</v>
      </c>
      <c r="E86" s="1" t="n">
        <v>46257</v>
      </c>
      <c r="F86" t="inlineStr">
        <is>
          <t>HALLANDS LÄN</t>
        </is>
      </c>
      <c r="G86" t="inlineStr">
        <is>
          <t>LAHOLM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45687</v>
      </c>
      <c r="E87" s="1" t="n">
        <v>46257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45232</v>
      </c>
      <c r="E88" s="1" t="n">
        <v>46257</v>
      </c>
      <c r="F88" t="inlineStr">
        <is>
          <t>HALLANDS LÄN</t>
        </is>
      </c>
      <c r="G88" t="inlineStr">
        <is>
          <t>LAHOLM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46257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46257</v>
      </c>
      <c r="F90" t="inlineStr">
        <is>
          <t>HALLANDS LÄN</t>
        </is>
      </c>
      <c r="G90" t="inlineStr">
        <is>
          <t>LAHOLM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45171</v>
      </c>
      <c r="E91" s="1" t="n">
        <v>46257</v>
      </c>
      <c r="F91" t="inlineStr">
        <is>
          <t>HALLANDS LÄN</t>
        </is>
      </c>
      <c r="G91" t="inlineStr">
        <is>
          <t>LAHOLM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45132</v>
      </c>
      <c r="E92" s="1" t="n">
        <v>46257</v>
      </c>
      <c r="F92" t="inlineStr">
        <is>
          <t>HALLANDS LÄN</t>
        </is>
      </c>
      <c r="G92" t="inlineStr">
        <is>
          <t>LAHOLM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46257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46257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46257</v>
      </c>
      <c r="F95" t="inlineStr">
        <is>
          <t>HALLANDS LÄN</t>
        </is>
      </c>
      <c r="G95" t="inlineStr">
        <is>
          <t>LAHOLM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44774</v>
      </c>
      <c r="E96" s="1" t="n">
        <v>46257</v>
      </c>
      <c r="F96" t="inlineStr">
        <is>
          <t>HALLANDS LÄN</t>
        </is>
      </c>
      <c r="G96" t="inlineStr">
        <is>
          <t>LAHOLM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46257</v>
      </c>
      <c r="F97" t="inlineStr">
        <is>
          <t>HALLANDS LÄN</t>
        </is>
      </c>
      <c r="G97" t="inlineStr">
        <is>
          <t>LAHOLM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45707</v>
      </c>
      <c r="E98" s="1" t="n">
        <v>46257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46257</v>
      </c>
      <c r="F99" t="inlineStr">
        <is>
          <t>HALLANDS LÄN</t>
        </is>
      </c>
      <c r="G99" t="inlineStr">
        <is>
          <t>LAHOLM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46257</v>
      </c>
      <c r="F100" t="inlineStr">
        <is>
          <t>HALLANDS LÄN</t>
        </is>
      </c>
      <c r="G100" t="inlineStr">
        <is>
          <t>LAHOLM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46257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69589-2021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46257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44802</v>
      </c>
      <c r="E103" s="1" t="n">
        <v>46257</v>
      </c>
      <c r="F103" t="inlineStr">
        <is>
          <t>HALLANDS LÄN</t>
        </is>
      </c>
      <c r="G103" t="inlineStr">
        <is>
          <t>LAHOLM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46257</v>
      </c>
      <c r="F104" t="inlineStr">
        <is>
          <t>HALLANDS LÄN</t>
        </is>
      </c>
      <c r="G104" t="inlineStr">
        <is>
          <t>LAHOLM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46257</v>
      </c>
      <c r="F105" t="inlineStr">
        <is>
          <t>HALLANDS LÄN</t>
        </is>
      </c>
      <c r="G105" t="inlineStr">
        <is>
          <t>LAHOLM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46257</v>
      </c>
      <c r="F106" t="inlineStr">
        <is>
          <t>HALLANDS LÄN</t>
        </is>
      </c>
      <c r="G106" t="inlineStr">
        <is>
          <t>LAHOLM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46257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46257</v>
      </c>
      <c r="F108" t="inlineStr">
        <is>
          <t>HALLANDS LÄN</t>
        </is>
      </c>
      <c r="G108" t="inlineStr">
        <is>
          <t>LAHOLM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46257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46257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46257</v>
      </c>
      <c r="F111" t="inlineStr">
        <is>
          <t>HALLANDS LÄN</t>
        </is>
      </c>
      <c r="G111" t="inlineStr">
        <is>
          <t>LAHOLM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44883</v>
      </c>
      <c r="E112" s="1" t="n">
        <v>46257</v>
      </c>
      <c r="F112" t="inlineStr">
        <is>
          <t>HALLANDS LÄN</t>
        </is>
      </c>
      <c r="G112" t="inlineStr">
        <is>
          <t>LAHOLM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45206</v>
      </c>
      <c r="E113" s="1" t="n">
        <v>46257</v>
      </c>
      <c r="F113" t="inlineStr">
        <is>
          <t>HALLANDS LÄN</t>
        </is>
      </c>
      <c r="G113" t="inlineStr">
        <is>
          <t>LAHOLM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46257</v>
      </c>
      <c r="F114" t="inlineStr">
        <is>
          <t>HALLANDS LÄN</t>
        </is>
      </c>
      <c r="G114" t="inlineStr">
        <is>
          <t>LAHOLM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46257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46257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46257</v>
      </c>
      <c r="F117" t="inlineStr">
        <is>
          <t>HALLANDS LÄN</t>
        </is>
      </c>
      <c r="G117" t="inlineStr">
        <is>
          <t>LAHOLM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46257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46257</v>
      </c>
      <c r="F119" t="inlineStr">
        <is>
          <t>HALLANDS LÄN</t>
        </is>
      </c>
      <c r="G119" t="inlineStr">
        <is>
          <t>LAHOLM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45426</v>
      </c>
      <c r="E120" s="1" t="n">
        <v>46257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46257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44846</v>
      </c>
      <c r="E122" s="1" t="n">
        <v>46257</v>
      </c>
      <c r="F122" t="inlineStr">
        <is>
          <t>HALLANDS LÄN</t>
        </is>
      </c>
      <c r="G122" t="inlineStr">
        <is>
          <t>LAHOLM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46257</v>
      </c>
      <c r="F123" t="inlineStr">
        <is>
          <t>HALLANDS LÄN</t>
        </is>
      </c>
      <c r="G123" t="inlineStr">
        <is>
          <t>LAHOLM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46257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46257</v>
      </c>
      <c r="F125" t="inlineStr">
        <is>
          <t>HALLANDS LÄN</t>
        </is>
      </c>
      <c r="G125" t="inlineStr">
        <is>
          <t>LAHOLM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42993-2023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45182</v>
      </c>
      <c r="E126" s="1" t="n">
        <v>46257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46257</v>
      </c>
      <c r="F127" t="inlineStr">
        <is>
          <t>HALLANDS LÄN</t>
        </is>
      </c>
      <c r="G127" t="inlineStr">
        <is>
          <t>LAHOLM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46257</v>
      </c>
      <c r="F128" t="inlineStr">
        <is>
          <t>HALLANDS LÄN</t>
        </is>
      </c>
      <c r="G128" t="inlineStr">
        <is>
          <t>LAHOLM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46257</v>
      </c>
      <c r="F129" t="inlineStr">
        <is>
          <t>HALLANDS LÄN</t>
        </is>
      </c>
      <c r="G129" t="inlineStr">
        <is>
          <t>LAHOLM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61711-2021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46257</v>
      </c>
      <c r="F130" t="inlineStr">
        <is>
          <t>HALLANDS LÄN</t>
        </is>
      </c>
      <c r="G130" t="inlineStr">
        <is>
          <t>LAHOLM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46257</v>
      </c>
      <c r="F131" t="inlineStr">
        <is>
          <t>HALLANDS LÄN</t>
        </is>
      </c>
      <c r="G131" t="inlineStr">
        <is>
          <t>LAHOLM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46257</v>
      </c>
      <c r="F132" t="inlineStr">
        <is>
          <t>HALLANDS LÄN</t>
        </is>
      </c>
      <c r="G132" t="inlineStr">
        <is>
          <t>LAHOLM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46257</v>
      </c>
      <c r="F133" t="inlineStr">
        <is>
          <t>HALLANDS LÄN</t>
        </is>
      </c>
      <c r="G133" t="inlineStr">
        <is>
          <t>LAHOLM</t>
        </is>
      </c>
      <c r="H133" t="inlineStr">
        <is>
          <t>Kommuner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46257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46257</v>
      </c>
      <c r="F135" t="inlineStr">
        <is>
          <t>HALLANDS LÄN</t>
        </is>
      </c>
      <c r="G135" t="inlineStr">
        <is>
          <t>LAHOLM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46257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46257</v>
      </c>
      <c r="F137" t="inlineStr">
        <is>
          <t>HALLANDS LÄN</t>
        </is>
      </c>
      <c r="G137" t="inlineStr">
        <is>
          <t>LAHOLM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46257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46257</v>
      </c>
      <c r="F139" t="inlineStr">
        <is>
          <t>HALLANDS LÄN</t>
        </is>
      </c>
      <c r="G139" t="inlineStr">
        <is>
          <t>LAHOLM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39465-2023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45166</v>
      </c>
      <c r="E140" s="1" t="n">
        <v>46257</v>
      </c>
      <c r="F140" t="inlineStr">
        <is>
          <t>HALLANDS LÄN</t>
        </is>
      </c>
      <c r="G140" t="inlineStr">
        <is>
          <t>LAHOLM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46257</v>
      </c>
      <c r="F141" t="inlineStr">
        <is>
          <t>HALLANDS LÄN</t>
        </is>
      </c>
      <c r="G141" t="inlineStr">
        <is>
          <t>LAHOLM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46257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45658</v>
      </c>
      <c r="E143" s="1" t="n">
        <v>46257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44930</v>
      </c>
      <c r="E144" s="1" t="n">
        <v>46257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45842</v>
      </c>
      <c r="E145" s="1" t="n">
        <v>46257</v>
      </c>
      <c r="F145" t="inlineStr">
        <is>
          <t>HALLANDS LÄN</t>
        </is>
      </c>
      <c r="G145" t="inlineStr">
        <is>
          <t>LAHOLM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46257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46257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46257</v>
      </c>
      <c r="F148" t="inlineStr">
        <is>
          <t>HALLANDS LÄN</t>
        </is>
      </c>
      <c r="G148" t="inlineStr">
        <is>
          <t>LAHOLM</t>
        </is>
      </c>
      <c r="H148" t="inlineStr">
        <is>
          <t>Kommuner</t>
        </is>
      </c>
      <c r="I148" t="n">
        <v>12.2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46257</v>
      </c>
      <c r="F149" t="inlineStr">
        <is>
          <t>HALLANDS LÄN</t>
        </is>
      </c>
      <c r="G149" t="inlineStr">
        <is>
          <t>LAHOLM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45843</v>
      </c>
      <c r="E150" s="1" t="n">
        <v>46257</v>
      </c>
      <c r="F150" t="inlineStr">
        <is>
          <t>HALLANDS LÄN</t>
        </is>
      </c>
      <c r="G150" t="inlineStr">
        <is>
          <t>LAHOLM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46257</v>
      </c>
      <c r="F151" t="inlineStr">
        <is>
          <t>HALLANDS LÄN</t>
        </is>
      </c>
      <c r="G151" t="inlineStr">
        <is>
          <t>LAHOLM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46257</v>
      </c>
      <c r="F152" t="inlineStr">
        <is>
          <t>HALLANDS LÄN</t>
        </is>
      </c>
      <c r="G152" t="inlineStr">
        <is>
          <t>LAHOLM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46257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46257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46257</v>
      </c>
      <c r="F155" t="inlineStr">
        <is>
          <t>HALLANDS LÄN</t>
        </is>
      </c>
      <c r="G155" t="inlineStr">
        <is>
          <t>LAHOLM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46257</v>
      </c>
      <c r="F156" t="inlineStr">
        <is>
          <t>HALLANDS LÄN</t>
        </is>
      </c>
      <c r="G156" t="inlineStr">
        <is>
          <t>LAHOLM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46257</v>
      </c>
      <c r="F157" t="inlineStr">
        <is>
          <t>HALLANDS LÄN</t>
        </is>
      </c>
      <c r="G157" t="inlineStr">
        <is>
          <t>LAHOLM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46257</v>
      </c>
      <c r="F158" t="inlineStr">
        <is>
          <t>HALLANDS LÄN</t>
        </is>
      </c>
      <c r="G158" t="inlineStr">
        <is>
          <t>LAHOLM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46257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44764</v>
      </c>
      <c r="E160" s="1" t="n">
        <v>46257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46257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53598-2021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46257</v>
      </c>
      <c r="F162" t="inlineStr">
        <is>
          <t>HALLANDS LÄN</t>
        </is>
      </c>
      <c r="G162" t="inlineStr">
        <is>
          <t>LAHOLM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46257</v>
      </c>
      <c r="F163" t="inlineStr">
        <is>
          <t>HALLANDS LÄN</t>
        </is>
      </c>
      <c r="G163" t="inlineStr">
        <is>
          <t>LAHOLM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46257</v>
      </c>
      <c r="F164" t="inlineStr">
        <is>
          <t>HALLANDS LÄN</t>
        </is>
      </c>
      <c r="G164" t="inlineStr">
        <is>
          <t>LAHOLM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46257</v>
      </c>
      <c r="F165" t="inlineStr">
        <is>
          <t>HALLANDS LÄN</t>
        </is>
      </c>
      <c r="G165" t="inlineStr">
        <is>
          <t>LAHOLM</t>
        </is>
      </c>
      <c r="H165" t="inlineStr">
        <is>
          <t>Övriga statliga verk och myndigheter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46257</v>
      </c>
      <c r="F166" t="inlineStr">
        <is>
          <t>HALLANDS LÄN</t>
        </is>
      </c>
      <c r="G166" t="inlineStr">
        <is>
          <t>LAHOLM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46257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46257</v>
      </c>
      <c r="F168" t="inlineStr">
        <is>
          <t>HALLANDS LÄN</t>
        </is>
      </c>
      <c r="G168" t="inlineStr">
        <is>
          <t>LAHOLM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46257</v>
      </c>
      <c r="F169" t="inlineStr">
        <is>
          <t>HALLANDS LÄN</t>
        </is>
      </c>
      <c r="G169" t="inlineStr">
        <is>
          <t>LAHOLM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45664</v>
      </c>
      <c r="E170" s="1" t="n">
        <v>46257</v>
      </c>
      <c r="F170" t="inlineStr">
        <is>
          <t>HALLANDS LÄN</t>
        </is>
      </c>
      <c r="G170" t="inlineStr">
        <is>
          <t>LAHOLM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45131</v>
      </c>
      <c r="E171" s="1" t="n">
        <v>46257</v>
      </c>
      <c r="F171" t="inlineStr">
        <is>
          <t>HALLANDS LÄN</t>
        </is>
      </c>
      <c r="G171" t="inlineStr">
        <is>
          <t>LAHOLM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45849</v>
      </c>
      <c r="E172" s="1" t="n">
        <v>46257</v>
      </c>
      <c r="F172" t="inlineStr">
        <is>
          <t>HALLANDS LÄN</t>
        </is>
      </c>
      <c r="G172" t="inlineStr">
        <is>
          <t>LAHOLM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46257</v>
      </c>
      <c r="F173" t="inlineStr">
        <is>
          <t>HALLANDS LÄN</t>
        </is>
      </c>
      <c r="G173" t="inlineStr">
        <is>
          <t>LAHOLM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46257</v>
      </c>
      <c r="F174" t="inlineStr">
        <is>
          <t>HALLANDS LÄN</t>
        </is>
      </c>
      <c r="G174" t="inlineStr">
        <is>
          <t>LAHOLM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46257</v>
      </c>
      <c r="F175" t="inlineStr">
        <is>
          <t>HALLANDS LÄN</t>
        </is>
      </c>
      <c r="G175" t="inlineStr">
        <is>
          <t>LAHOLM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46257</v>
      </c>
      <c r="F176" t="inlineStr">
        <is>
          <t>HALLANDS LÄN</t>
        </is>
      </c>
      <c r="G176" t="inlineStr">
        <is>
          <t>LAHOLM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46257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46257</v>
      </c>
      <c r="F178" t="inlineStr">
        <is>
          <t>HALLANDS LÄN</t>
        </is>
      </c>
      <c r="G178" t="inlineStr">
        <is>
          <t>LAHOLM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45230</v>
      </c>
      <c r="E179" s="1" t="n">
        <v>46257</v>
      </c>
      <c r="F179" t="inlineStr">
        <is>
          <t>HALLANDS LÄN</t>
        </is>
      </c>
      <c r="G179" t="inlineStr">
        <is>
          <t>LAHOLM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45179</v>
      </c>
      <c r="E180" s="1" t="n">
        <v>46257</v>
      </c>
      <c r="F180" t="inlineStr">
        <is>
          <t>HALLANDS LÄN</t>
        </is>
      </c>
      <c r="G180" t="inlineStr">
        <is>
          <t>LAHOLM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46257</v>
      </c>
      <c r="F181" t="inlineStr">
        <is>
          <t>HALLANDS LÄN</t>
        </is>
      </c>
      <c r="G181" t="inlineStr">
        <is>
          <t>LAHOLM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46257</v>
      </c>
      <c r="F182" t="inlineStr">
        <is>
          <t>HALLANDS LÄN</t>
        </is>
      </c>
      <c r="G182" t="inlineStr">
        <is>
          <t>LAHOLM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46257</v>
      </c>
      <c r="F183" t="inlineStr">
        <is>
          <t>HALLANDS LÄN</t>
        </is>
      </c>
      <c r="G183" t="inlineStr">
        <is>
          <t>LAHOLM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46257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46257</v>
      </c>
      <c r="F185" t="inlineStr">
        <is>
          <t>HALLANDS LÄN</t>
        </is>
      </c>
      <c r="G185" t="inlineStr">
        <is>
          <t>LAHOLM</t>
        </is>
      </c>
      <c r="I185" t="n">
        <v>12.9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46257</v>
      </c>
      <c r="F186" t="inlineStr">
        <is>
          <t>HALLANDS LÄN</t>
        </is>
      </c>
      <c r="G186" t="inlineStr">
        <is>
          <t>LAHOLM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46257</v>
      </c>
      <c r="F187" t="inlineStr">
        <is>
          <t>HALLANDS LÄN</t>
        </is>
      </c>
      <c r="G187" t="inlineStr">
        <is>
          <t>LAHOLM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46257</v>
      </c>
      <c r="F188" t="inlineStr">
        <is>
          <t>HALLANDS LÄN</t>
        </is>
      </c>
      <c r="G188" t="inlineStr">
        <is>
          <t>LAHOLM</t>
        </is>
      </c>
      <c r="H188" t="inlineStr">
        <is>
          <t>Naturvårdsverket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46257</v>
      </c>
      <c r="F189" t="inlineStr">
        <is>
          <t>HALLANDS LÄN</t>
        </is>
      </c>
      <c r="G189" t="inlineStr">
        <is>
          <t>LAHOLM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44810</v>
      </c>
      <c r="E190" s="1" t="n">
        <v>46257</v>
      </c>
      <c r="F190" t="inlineStr">
        <is>
          <t>HALLANDS LÄN</t>
        </is>
      </c>
      <c r="G190" t="inlineStr">
        <is>
          <t>LAHOLM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46257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46257</v>
      </c>
      <c r="F192" t="inlineStr">
        <is>
          <t>HALLANDS LÄN</t>
        </is>
      </c>
      <c r="G192" t="inlineStr">
        <is>
          <t>LAHOLM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46257</v>
      </c>
      <c r="F193" t="inlineStr">
        <is>
          <t>HALLANDS LÄN</t>
        </is>
      </c>
      <c r="G193" t="inlineStr">
        <is>
          <t>LAHOLM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46257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44753</v>
      </c>
      <c r="E195" s="1" t="n">
        <v>46257</v>
      </c>
      <c r="F195" t="inlineStr">
        <is>
          <t>HALLANDS LÄN</t>
        </is>
      </c>
      <c r="G195" t="inlineStr">
        <is>
          <t>LAHOLM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45327</v>
      </c>
      <c r="E196" s="1" t="n">
        <v>46257</v>
      </c>
      <c r="F196" t="inlineStr">
        <is>
          <t>HALLANDS LÄN</t>
        </is>
      </c>
      <c r="G196" t="inlineStr">
        <is>
          <t>LAHOLM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44831</v>
      </c>
      <c r="E197" s="1" t="n">
        <v>46257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46257</v>
      </c>
      <c r="F198" t="inlineStr">
        <is>
          <t>HALLANDS LÄN</t>
        </is>
      </c>
      <c r="G198" t="inlineStr">
        <is>
          <t>LAHOLM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46257</v>
      </c>
      <c r="F199" t="inlineStr">
        <is>
          <t>HALLANDS LÄN</t>
        </is>
      </c>
      <c r="G199" t="inlineStr">
        <is>
          <t>LAHOLM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46257</v>
      </c>
      <c r="F200" t="inlineStr">
        <is>
          <t>HALLANDS LÄN</t>
        </is>
      </c>
      <c r="G200" t="inlineStr">
        <is>
          <t>LAHOLM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45628</v>
      </c>
      <c r="E201" s="1" t="n">
        <v>46257</v>
      </c>
      <c r="F201" t="inlineStr">
        <is>
          <t>HALLANDS LÄN</t>
        </is>
      </c>
      <c r="G201" t="inlineStr">
        <is>
          <t>LAHOLM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44511</v>
      </c>
      <c r="E202" s="1" t="n">
        <v>46257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46257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46257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46257</v>
      </c>
      <c r="F205" t="inlineStr">
        <is>
          <t>HALLANDS LÄN</t>
        </is>
      </c>
      <c r="G205" t="inlineStr">
        <is>
          <t>LAHOLM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46257</v>
      </c>
      <c r="F206" t="inlineStr">
        <is>
          <t>HALLANDS LÄN</t>
        </is>
      </c>
      <c r="G206" t="inlineStr">
        <is>
          <t>LAHOLM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46257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46257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46257</v>
      </c>
      <c r="F209" t="inlineStr">
        <is>
          <t>HALLANDS LÄN</t>
        </is>
      </c>
      <c r="G209" t="inlineStr">
        <is>
          <t>LAHOLM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46257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44929</v>
      </c>
      <c r="E211" s="1" t="n">
        <v>46257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45020</v>
      </c>
      <c r="E212" s="1" t="n">
        <v>46257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45802</v>
      </c>
      <c r="E213" s="1" t="n">
        <v>46257</v>
      </c>
      <c r="F213" t="inlineStr">
        <is>
          <t>HALLANDS LÄN</t>
        </is>
      </c>
      <c r="G213" t="inlineStr">
        <is>
          <t>LAHOLM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46257</v>
      </c>
      <c r="F214" t="inlineStr">
        <is>
          <t>HALLANDS LÄN</t>
        </is>
      </c>
      <c r="G214" t="inlineStr">
        <is>
          <t>LAHOLM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46257</v>
      </c>
      <c r="F215" t="inlineStr">
        <is>
          <t>HALLANDS LÄN</t>
        </is>
      </c>
      <c r="G215" t="inlineStr">
        <is>
          <t>LAHOLM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46257</v>
      </c>
      <c r="F216" t="inlineStr">
        <is>
          <t>HALLANDS LÄN</t>
        </is>
      </c>
      <c r="G216" t="inlineStr">
        <is>
          <t>LAHOLM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46257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44869</v>
      </c>
      <c r="E218" s="1" t="n">
        <v>46257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46257</v>
      </c>
      <c r="F219" t="inlineStr">
        <is>
          <t>HALLANDS LÄN</t>
        </is>
      </c>
      <c r="G219" t="inlineStr">
        <is>
          <t>LAHOLM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46257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46257</v>
      </c>
      <c r="F221" t="inlineStr">
        <is>
          <t>HALLANDS LÄN</t>
        </is>
      </c>
      <c r="G221" t="inlineStr">
        <is>
          <t>LAHOLM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46257</v>
      </c>
      <c r="F222" t="inlineStr">
        <is>
          <t>HALLANDS LÄN</t>
        </is>
      </c>
      <c r="G222" t="inlineStr">
        <is>
          <t>LAHOLM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46257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46257</v>
      </c>
      <c r="F224" t="inlineStr">
        <is>
          <t>HALLANDS LÄN</t>
        </is>
      </c>
      <c r="G224" t="inlineStr">
        <is>
          <t>LAHOLM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46257</v>
      </c>
      <c r="F225" t="inlineStr">
        <is>
          <t>HALLANDS LÄN</t>
        </is>
      </c>
      <c r="G225" t="inlineStr">
        <is>
          <t>LAHOLM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46257</v>
      </c>
      <c r="F226" t="inlineStr">
        <is>
          <t>HALLANDS LÄN</t>
        </is>
      </c>
      <c r="G226" t="inlineStr">
        <is>
          <t>LAHOLM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46257</v>
      </c>
      <c r="F227" t="inlineStr">
        <is>
          <t>HALLANDS LÄN</t>
        </is>
      </c>
      <c r="G227" t="inlineStr">
        <is>
          <t>LAHOLM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46257</v>
      </c>
      <c r="F228" t="inlineStr">
        <is>
          <t>HALLANDS LÄN</t>
        </is>
      </c>
      <c r="G228" t="inlineStr">
        <is>
          <t>LAHOLM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46257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46257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46257</v>
      </c>
      <c r="F231" t="inlineStr">
        <is>
          <t>HALLANDS LÄN</t>
        </is>
      </c>
      <c r="G231" t="inlineStr">
        <is>
          <t>LAHOLM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46257</v>
      </c>
      <c r="F232" t="inlineStr">
        <is>
          <t>HALLANDS LÄN</t>
        </is>
      </c>
      <c r="G232" t="inlineStr">
        <is>
          <t>LAHOLM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46257</v>
      </c>
      <c r="F233" t="inlineStr">
        <is>
          <t>HALLANDS LÄN</t>
        </is>
      </c>
      <c r="G233" t="inlineStr">
        <is>
          <t>LAHOLM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46257</v>
      </c>
      <c r="F234" t="inlineStr">
        <is>
          <t>HALLANDS LÄN</t>
        </is>
      </c>
      <c r="G234" t="inlineStr">
        <is>
          <t>LAHOLM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46257</v>
      </c>
      <c r="F235" t="inlineStr">
        <is>
          <t>HALLANDS LÄN</t>
        </is>
      </c>
      <c r="G235" t="inlineStr">
        <is>
          <t>LAHOLM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45545</v>
      </c>
      <c r="E236" s="1" t="n">
        <v>46257</v>
      </c>
      <c r="F236" t="inlineStr">
        <is>
          <t>HALLANDS LÄN</t>
        </is>
      </c>
      <c r="G236" t="inlineStr">
        <is>
          <t>LAHOLM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46257</v>
      </c>
      <c r="F237" t="inlineStr">
        <is>
          <t>HALLANDS LÄN</t>
        </is>
      </c>
      <c r="G237" t="inlineStr">
        <is>
          <t>LAHOLM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45730</v>
      </c>
      <c r="E238" s="1" t="n">
        <v>46257</v>
      </c>
      <c r="F238" t="inlineStr">
        <is>
          <t>HALLANDS LÄN</t>
        </is>
      </c>
      <c r="G238" t="inlineStr">
        <is>
          <t>LAHOLM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46257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45730</v>
      </c>
      <c r="E240" s="1" t="n">
        <v>46257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46257</v>
      </c>
      <c r="F241" t="inlineStr">
        <is>
          <t>HALLANDS LÄN</t>
        </is>
      </c>
      <c r="G241" t="inlineStr">
        <is>
          <t>LAHOLM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45168</v>
      </c>
      <c r="E242" s="1" t="n">
        <v>46257</v>
      </c>
      <c r="F242" t="inlineStr">
        <is>
          <t>HALLANDS LÄN</t>
        </is>
      </c>
      <c r="G242" t="inlineStr">
        <is>
          <t>LAHOLM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45275</v>
      </c>
      <c r="E243" s="1" t="n">
        <v>46257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46257</v>
      </c>
      <c r="F244" t="inlineStr">
        <is>
          <t>HALLANDS LÄN</t>
        </is>
      </c>
      <c r="G244" t="inlineStr">
        <is>
          <t>LAHOLM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46257</v>
      </c>
      <c r="F245" t="inlineStr">
        <is>
          <t>HALLANDS LÄN</t>
        </is>
      </c>
      <c r="G245" t="inlineStr">
        <is>
          <t>LAHOLM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46257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46257</v>
      </c>
      <c r="F247" t="inlineStr">
        <is>
          <t>HALLANDS LÄN</t>
        </is>
      </c>
      <c r="G247" t="inlineStr">
        <is>
          <t>LAHOLM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46257</v>
      </c>
      <c r="F248" t="inlineStr">
        <is>
          <t>HALLANDS LÄN</t>
        </is>
      </c>
      <c r="G248" t="inlineStr">
        <is>
          <t>LAHOLM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46257</v>
      </c>
      <c r="F249" t="inlineStr">
        <is>
          <t>HALLANDS LÄN</t>
        </is>
      </c>
      <c r="G249" t="inlineStr">
        <is>
          <t>LAHOLM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46257</v>
      </c>
      <c r="F250" t="inlineStr">
        <is>
          <t>HALLANDS LÄN</t>
        </is>
      </c>
      <c r="G250" t="inlineStr">
        <is>
          <t>LAHOLM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44902</v>
      </c>
      <c r="E251" s="1" t="n">
        <v>46257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46257</v>
      </c>
      <c r="F252" t="inlineStr">
        <is>
          <t>HALLANDS LÄN</t>
        </is>
      </c>
      <c r="G252" t="inlineStr">
        <is>
          <t>LAHOLM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46317-2021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44442</v>
      </c>
      <c r="E253" s="1" t="n">
        <v>46257</v>
      </c>
      <c r="F253" t="inlineStr">
        <is>
          <t>HALLANDS LÄN</t>
        </is>
      </c>
      <c r="G253" t="inlineStr">
        <is>
          <t>LAHOLM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46257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46257</v>
      </c>
      <c r="F255" t="inlineStr">
        <is>
          <t>HALLANDS LÄN</t>
        </is>
      </c>
      <c r="G255" t="inlineStr">
        <is>
          <t>LAHOLM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31280-2022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44771</v>
      </c>
      <c r="E256" s="1" t="n">
        <v>46257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46257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44645</v>
      </c>
      <c r="E258" s="1" t="n">
        <v>46257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46257</v>
      </c>
      <c r="F259" t="inlineStr">
        <is>
          <t>HALLANDS LÄN</t>
        </is>
      </c>
      <c r="G259" t="inlineStr">
        <is>
          <t>LAHOLM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57320-2021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44483</v>
      </c>
      <c r="E260" s="1" t="n">
        <v>46257</v>
      </c>
      <c r="F260" t="inlineStr">
        <is>
          <t>HALLANDS LÄN</t>
        </is>
      </c>
      <c r="G260" t="inlineStr">
        <is>
          <t>LAHOLM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73894-2021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44553</v>
      </c>
      <c r="E261" s="1" t="n">
        <v>46257</v>
      </c>
      <c r="F261" t="inlineStr">
        <is>
          <t>HALLANDS LÄN</t>
        </is>
      </c>
      <c r="G261" t="inlineStr">
        <is>
          <t>LAHOLM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53909-2022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46257</v>
      </c>
      <c r="F262" t="inlineStr">
        <is>
          <t>HALLANDS LÄN</t>
        </is>
      </c>
      <c r="G262" t="inlineStr">
        <is>
          <t>LAHOLM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46257</v>
      </c>
      <c r="F263" t="inlineStr">
        <is>
          <t>HALLANDS LÄN</t>
        </is>
      </c>
      <c r="G263" t="inlineStr">
        <is>
          <t>LAHOLM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46257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46257</v>
      </c>
      <c r="F265" t="inlineStr">
        <is>
          <t>HALLANDS LÄN</t>
        </is>
      </c>
      <c r="G265" t="inlineStr">
        <is>
          <t>LAHOLM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46038</v>
      </c>
      <c r="E266" s="1" t="n">
        <v>46257</v>
      </c>
      <c r="F266" t="inlineStr">
        <is>
          <t>HALLANDS LÄN</t>
        </is>
      </c>
      <c r="G266" t="inlineStr">
        <is>
          <t>LAHOLM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46257</v>
      </c>
      <c r="F267" t="inlineStr">
        <is>
          <t>HALLANDS LÄN</t>
        </is>
      </c>
      <c r="G267" t="inlineStr">
        <is>
          <t>LAHOLM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46257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46257</v>
      </c>
      <c r="F269" t="inlineStr">
        <is>
          <t>HALLANDS LÄN</t>
        </is>
      </c>
      <c r="G269" t="inlineStr">
        <is>
          <t>LAHOLM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45450</v>
      </c>
      <c r="E270" s="1" t="n">
        <v>46257</v>
      </c>
      <c r="F270" t="inlineStr">
        <is>
          <t>HALLANDS LÄN</t>
        </is>
      </c>
      <c r="G270" t="inlineStr">
        <is>
          <t>LAHOLM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46257</v>
      </c>
      <c r="F271" t="inlineStr">
        <is>
          <t>HALLANDS LÄN</t>
        </is>
      </c>
      <c r="G271" t="inlineStr">
        <is>
          <t>LAHOLM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44517</v>
      </c>
      <c r="E272" s="1" t="n">
        <v>46257</v>
      </c>
      <c r="F272" t="inlineStr">
        <is>
          <t>HALLANDS LÄN</t>
        </is>
      </c>
      <c r="G272" t="inlineStr">
        <is>
          <t>LAHOLM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44922</v>
      </c>
      <c r="E273" s="1" t="n">
        <v>46257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45156</v>
      </c>
      <c r="E274" s="1" t="n">
        <v>46257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46257</v>
      </c>
      <c r="F275" t="inlineStr">
        <is>
          <t>HALLANDS LÄN</t>
        </is>
      </c>
      <c r="G275" t="inlineStr">
        <is>
          <t>LAHOLM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46257</v>
      </c>
      <c r="F276" t="inlineStr">
        <is>
          <t>HALLANDS LÄN</t>
        </is>
      </c>
      <c r="G276" t="inlineStr">
        <is>
          <t>LAHOLM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52168-2021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44463</v>
      </c>
      <c r="E277" s="1" t="n">
        <v>46257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46257</v>
      </c>
      <c r="F278" t="inlineStr">
        <is>
          <t>HALLANDS LÄN</t>
        </is>
      </c>
      <c r="G278" t="inlineStr">
        <is>
          <t>LAHOLM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59921-2022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44909</v>
      </c>
      <c r="E279" s="1" t="n">
        <v>46257</v>
      </c>
      <c r="F279" t="inlineStr">
        <is>
          <t>HALLANDS LÄN</t>
        </is>
      </c>
      <c r="G279" t="inlineStr">
        <is>
          <t>LAHOLM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44827</v>
      </c>
      <c r="E280" s="1" t="n">
        <v>46257</v>
      </c>
      <c r="F280" t="inlineStr">
        <is>
          <t>HALLANDS LÄN</t>
        </is>
      </c>
      <c r="G280" t="inlineStr">
        <is>
          <t>LAHOLM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46257</v>
      </c>
      <c r="F281" t="inlineStr">
        <is>
          <t>HALLANDS LÄN</t>
        </is>
      </c>
      <c r="G281" t="inlineStr">
        <is>
          <t>LAHOLM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46257</v>
      </c>
      <c r="F282" t="inlineStr">
        <is>
          <t>HALLANDS LÄN</t>
        </is>
      </c>
      <c r="G282" t="inlineStr">
        <is>
          <t>LAHOLM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46257</v>
      </c>
      <c r="F283" t="inlineStr">
        <is>
          <t>HALLANDS LÄN</t>
        </is>
      </c>
      <c r="G283" t="inlineStr">
        <is>
          <t>LAHOLM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46257</v>
      </c>
      <c r="F284" t="inlineStr">
        <is>
          <t>HALLANDS LÄN</t>
        </is>
      </c>
      <c r="G284" t="inlineStr">
        <is>
          <t>LAHOLM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46257</v>
      </c>
      <c r="F285" t="inlineStr">
        <is>
          <t>HALLANDS LÄN</t>
        </is>
      </c>
      <c r="G285" t="inlineStr">
        <is>
          <t>LAHOLM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46257</v>
      </c>
      <c r="F286" t="inlineStr">
        <is>
          <t>HALLANDS LÄN</t>
        </is>
      </c>
      <c r="G286" t="inlineStr">
        <is>
          <t>LAHOLM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46257</v>
      </c>
      <c r="F287" t="inlineStr">
        <is>
          <t>HALLANDS LÄN</t>
        </is>
      </c>
      <c r="G287" t="inlineStr">
        <is>
          <t>LAHOLM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46257</v>
      </c>
      <c r="F288" t="inlineStr">
        <is>
          <t>HALLANDS LÄN</t>
        </is>
      </c>
      <c r="G288" t="inlineStr">
        <is>
          <t>LAHOLM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46257</v>
      </c>
      <c r="F289" t="inlineStr">
        <is>
          <t>HALLANDS LÄN</t>
        </is>
      </c>
      <c r="G289" t="inlineStr">
        <is>
          <t>LAHOLM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53128-2021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44467</v>
      </c>
      <c r="E290" s="1" t="n">
        <v>46257</v>
      </c>
      <c r="F290" t="inlineStr">
        <is>
          <t>HALLANDS LÄN</t>
        </is>
      </c>
      <c r="G290" t="inlineStr">
        <is>
          <t>LAHOLM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46257</v>
      </c>
      <c r="F291" t="inlineStr">
        <is>
          <t>HALLANDS LÄN</t>
        </is>
      </c>
      <c r="G291" t="inlineStr">
        <is>
          <t>LAHOLM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46257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46257</v>
      </c>
      <c r="F293" t="inlineStr">
        <is>
          <t>HALLANDS LÄN</t>
        </is>
      </c>
      <c r="G293" t="inlineStr">
        <is>
          <t>LAHOLM</t>
        </is>
      </c>
      <c r="I293" t="n">
        <v>9.199999999999999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46257</v>
      </c>
      <c r="F294" t="inlineStr">
        <is>
          <t>HALLANDS LÄN</t>
        </is>
      </c>
      <c r="G294" t="inlineStr">
        <is>
          <t>LAHOLM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46257</v>
      </c>
      <c r="F295" t="inlineStr">
        <is>
          <t>HALLANDS LÄN</t>
        </is>
      </c>
      <c r="G295" t="inlineStr">
        <is>
          <t>LAHOLM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46257</v>
      </c>
      <c r="F296" t="inlineStr">
        <is>
          <t>HALLANDS LÄN</t>
        </is>
      </c>
      <c r="G296" t="inlineStr">
        <is>
          <t>LAHOLM</t>
        </is>
      </c>
      <c r="H296" t="inlineStr">
        <is>
          <t>Kyrkan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45849</v>
      </c>
      <c r="E297" s="1" t="n">
        <v>46257</v>
      </c>
      <c r="F297" t="inlineStr">
        <is>
          <t>HALLANDS LÄN</t>
        </is>
      </c>
      <c r="G297" t="inlineStr">
        <is>
          <t>LAHOLM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45364</v>
      </c>
      <c r="E298" s="1" t="n">
        <v>46257</v>
      </c>
      <c r="F298" t="inlineStr">
        <is>
          <t>HALLANDS LÄN</t>
        </is>
      </c>
      <c r="G298" t="inlineStr">
        <is>
          <t>LAHOLM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52094-2021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44462</v>
      </c>
      <c r="E299" s="1" t="n">
        <v>46257</v>
      </c>
      <c r="F299" t="inlineStr">
        <is>
          <t>HALLANDS LÄN</t>
        </is>
      </c>
      <c r="G299" t="inlineStr">
        <is>
          <t>LAHOLM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46257</v>
      </c>
      <c r="F300" t="inlineStr">
        <is>
          <t>HALLANDS LÄN</t>
        </is>
      </c>
      <c r="G300" t="inlineStr">
        <is>
          <t>LAHOLM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46257</v>
      </c>
      <c r="F301" t="inlineStr">
        <is>
          <t>HALLANDS LÄN</t>
        </is>
      </c>
      <c r="G301" t="inlineStr">
        <is>
          <t>LAHOLM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46257</v>
      </c>
      <c r="F302" t="inlineStr">
        <is>
          <t>HALLANDS LÄN</t>
        </is>
      </c>
      <c r="G302" t="inlineStr">
        <is>
          <t>LAHOLM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46257</v>
      </c>
      <c r="F303" t="inlineStr">
        <is>
          <t>HALLANDS LÄN</t>
        </is>
      </c>
      <c r="G303" t="inlineStr">
        <is>
          <t>LAHOLM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45006</v>
      </c>
      <c r="E304" s="1" t="n">
        <v>46257</v>
      </c>
      <c r="F304" t="inlineStr">
        <is>
          <t>HALLANDS LÄN</t>
        </is>
      </c>
      <c r="G304" t="inlineStr">
        <is>
          <t>LAHOLM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46257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46257</v>
      </c>
      <c r="F306" t="inlineStr">
        <is>
          <t>HALLANDS LÄN</t>
        </is>
      </c>
      <c r="G306" t="inlineStr">
        <is>
          <t>LAHOLM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44594</v>
      </c>
      <c r="E307" s="1" t="n">
        <v>46257</v>
      </c>
      <c r="F307" t="inlineStr">
        <is>
          <t>HALLANDS LÄN</t>
        </is>
      </c>
      <c r="G307" t="inlineStr">
        <is>
          <t>LAHOLM</t>
        </is>
      </c>
      <c r="H307" t="inlineStr">
        <is>
          <t>Kommuner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67861-2021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44525</v>
      </c>
      <c r="E308" s="1" t="n">
        <v>46257</v>
      </c>
      <c r="F308" t="inlineStr">
        <is>
          <t>HALLANDS LÄN</t>
        </is>
      </c>
      <c r="G308" t="inlineStr">
        <is>
          <t>LAHOLM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46257</v>
      </c>
      <c r="F309" t="inlineStr">
        <is>
          <t>HALLANDS LÄN</t>
        </is>
      </c>
      <c r="G309" t="inlineStr">
        <is>
          <t>LAHOLM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46222</v>
      </c>
      <c r="E310" s="1" t="n">
        <v>46257</v>
      </c>
      <c r="F310" t="inlineStr">
        <is>
          <t>HALLANDS LÄN</t>
        </is>
      </c>
      <c r="G310" t="inlineStr">
        <is>
          <t>LAHOLM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46257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46078</v>
      </c>
      <c r="E312" s="1" t="n">
        <v>46257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44677</v>
      </c>
      <c r="E313" s="1" t="n">
        <v>46257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46257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46257</v>
      </c>
      <c r="F315" t="inlineStr">
        <is>
          <t>HALLANDS LÄN</t>
        </is>
      </c>
      <c r="G315" t="inlineStr">
        <is>
          <t>LAHOLM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46257</v>
      </c>
      <c r="F316" t="inlineStr">
        <is>
          <t>HALLANDS LÄN</t>
        </is>
      </c>
      <c r="G316" t="inlineStr">
        <is>
          <t>LAHOLM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46257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46257</v>
      </c>
      <c r="F318" t="inlineStr">
        <is>
          <t>HALLANDS LÄN</t>
        </is>
      </c>
      <c r="G318" t="inlineStr">
        <is>
          <t>LAHOLM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45957</v>
      </c>
      <c r="E319" s="1" t="n">
        <v>46257</v>
      </c>
      <c r="F319" t="inlineStr">
        <is>
          <t>HALLANDS LÄN</t>
        </is>
      </c>
      <c r="G319" t="inlineStr">
        <is>
          <t>LAHOLM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46257</v>
      </c>
      <c r="F320" t="inlineStr">
        <is>
          <t>HALLANDS LÄN</t>
        </is>
      </c>
      <c r="G320" t="inlineStr">
        <is>
          <t>LAHOLM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46257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46184</v>
      </c>
      <c r="E322" s="1" t="n">
        <v>46257</v>
      </c>
      <c r="F322" t="inlineStr">
        <is>
          <t>HALLANDS LÄN</t>
        </is>
      </c>
      <c r="G322" t="inlineStr">
        <is>
          <t>LAHOLM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46257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46257</v>
      </c>
      <c r="F324" t="inlineStr">
        <is>
          <t>HALLANDS LÄN</t>
        </is>
      </c>
      <c r="G324" t="inlineStr">
        <is>
          <t>LAHOLM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46257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46257</v>
      </c>
      <c r="F326" t="inlineStr">
        <is>
          <t>HALLANDS LÄN</t>
        </is>
      </c>
      <c r="G326" t="inlineStr">
        <is>
          <t>LAHOLM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46257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46257</v>
      </c>
      <c r="F328" t="inlineStr">
        <is>
          <t>HALLANDS LÄN</t>
        </is>
      </c>
      <c r="G328" t="inlineStr">
        <is>
          <t>LAHOLM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46257</v>
      </c>
      <c r="F329" t="inlineStr">
        <is>
          <t>HALLANDS LÄN</t>
        </is>
      </c>
      <c r="G329" t="inlineStr">
        <is>
          <t>LAHOLM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13998-2026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46098</v>
      </c>
      <c r="E330" s="1" t="n">
        <v>46257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46257</v>
      </c>
      <c r="F331" t="inlineStr">
        <is>
          <t>HALLANDS LÄN</t>
        </is>
      </c>
      <c r="G331" t="inlineStr">
        <is>
          <t>LAHOLM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45314</v>
      </c>
      <c r="E332" s="1" t="n">
        <v>46257</v>
      </c>
      <c r="F332" t="inlineStr">
        <is>
          <t>HALLANDS LÄN</t>
        </is>
      </c>
      <c r="G332" t="inlineStr">
        <is>
          <t>LAHOLM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46257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60341-2024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45643</v>
      </c>
      <c r="E334" s="1" t="n">
        <v>46257</v>
      </c>
      <c r="F334" t="inlineStr">
        <is>
          <t>HALLANDS LÄN</t>
        </is>
      </c>
      <c r="G334" t="inlineStr">
        <is>
          <t>LAHOLM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46257</v>
      </c>
      <c r="F335" t="inlineStr">
        <is>
          <t>HALLANDS LÄN</t>
        </is>
      </c>
      <c r="G335" t="inlineStr">
        <is>
          <t>LAHOLM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46257</v>
      </c>
      <c r="F336" t="inlineStr">
        <is>
          <t>HALLANDS LÄN</t>
        </is>
      </c>
      <c r="G336" t="inlineStr">
        <is>
          <t>LAHOLM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46257</v>
      </c>
      <c r="F337" t="inlineStr">
        <is>
          <t>HALLANDS LÄN</t>
        </is>
      </c>
      <c r="G337" t="inlineStr">
        <is>
          <t>LAHOLM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46257</v>
      </c>
      <c r="F338" t="inlineStr">
        <is>
          <t>HALLANDS LÄN</t>
        </is>
      </c>
      <c r="G338" t="inlineStr">
        <is>
          <t>LAHOLM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46257</v>
      </c>
      <c r="F339" t="inlineStr">
        <is>
          <t>HALLANDS LÄN</t>
        </is>
      </c>
      <c r="G339" t="inlineStr">
        <is>
          <t>LAHOLM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46257</v>
      </c>
      <c r="F340" t="inlineStr">
        <is>
          <t>HALLANDS LÄN</t>
        </is>
      </c>
      <c r="G340" t="inlineStr">
        <is>
          <t>LAHOLM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46257</v>
      </c>
      <c r="F341" t="inlineStr">
        <is>
          <t>HALLANDS LÄN</t>
        </is>
      </c>
      <c r="G341" t="inlineStr">
        <is>
          <t>LAHOLM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46257</v>
      </c>
      <c r="F342" t="inlineStr">
        <is>
          <t>HALLANDS LÄN</t>
        </is>
      </c>
      <c r="G342" t="inlineStr">
        <is>
          <t>LAHOLM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45337</v>
      </c>
      <c r="E343" s="1" t="n">
        <v>46257</v>
      </c>
      <c r="F343" t="inlineStr">
        <is>
          <t>HALLANDS LÄN</t>
        </is>
      </c>
      <c r="G343" t="inlineStr">
        <is>
          <t>LAHOLM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46257</v>
      </c>
      <c r="F344" t="inlineStr">
        <is>
          <t>HALLANDS LÄN</t>
        </is>
      </c>
      <c r="G344" t="inlineStr">
        <is>
          <t>LAHOLM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46257</v>
      </c>
      <c r="F345" t="inlineStr">
        <is>
          <t>HALLANDS LÄN</t>
        </is>
      </c>
      <c r="G345" t="inlineStr">
        <is>
          <t>LAHOLM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46257</v>
      </c>
      <c r="F346" t="inlineStr">
        <is>
          <t>HALLANDS LÄN</t>
        </is>
      </c>
      <c r="G346" t="inlineStr">
        <is>
          <t>LAHOLM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48682-2023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45208</v>
      </c>
      <c r="E347" s="1" t="n">
        <v>46257</v>
      </c>
      <c r="F347" t="inlineStr">
        <is>
          <t>HALLANDS LÄN</t>
        </is>
      </c>
      <c r="G347" t="inlineStr">
        <is>
          <t>LAHOLM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45139</v>
      </c>
      <c r="E348" s="1" t="n">
        <v>46257</v>
      </c>
      <c r="F348" t="inlineStr">
        <is>
          <t>HALLANDS LÄN</t>
        </is>
      </c>
      <c r="G348" t="inlineStr">
        <is>
          <t>LAHOLM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45139</v>
      </c>
      <c r="E349" s="1" t="n">
        <v>46257</v>
      </c>
      <c r="F349" t="inlineStr">
        <is>
          <t>HALLANDS LÄN</t>
        </is>
      </c>
      <c r="G349" t="inlineStr">
        <is>
          <t>LAHOLM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45314</v>
      </c>
      <c r="E350" s="1" t="n">
        <v>46257</v>
      </c>
      <c r="F350" t="inlineStr">
        <is>
          <t>HALLANDS LÄN</t>
        </is>
      </c>
      <c r="G350" t="inlineStr">
        <is>
          <t>LAHOLM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46257</v>
      </c>
      <c r="F351" t="inlineStr">
        <is>
          <t>HALLANDS LÄN</t>
        </is>
      </c>
      <c r="G351" t="inlineStr">
        <is>
          <t>LAHOLM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46257</v>
      </c>
      <c r="F352" t="inlineStr">
        <is>
          <t>HALLANDS LÄN</t>
        </is>
      </c>
      <c r="G352" t="inlineStr">
        <is>
          <t>LAHOLM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44639</v>
      </c>
      <c r="E353" s="1" t="n">
        <v>46257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44943</v>
      </c>
      <c r="E354" s="1" t="n">
        <v>46257</v>
      </c>
      <c r="F354" t="inlineStr">
        <is>
          <t>HALLANDS LÄN</t>
        </is>
      </c>
      <c r="G354" t="inlineStr">
        <is>
          <t>LAHOLM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46257</v>
      </c>
      <c r="F355" t="inlineStr">
        <is>
          <t>HALLANDS LÄN</t>
        </is>
      </c>
      <c r="G355" t="inlineStr">
        <is>
          <t>LAHOLM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45342</v>
      </c>
      <c r="E356" s="1" t="n">
        <v>46257</v>
      </c>
      <c r="F356" t="inlineStr">
        <is>
          <t>HALLANDS LÄN</t>
        </is>
      </c>
      <c r="G356" t="inlineStr">
        <is>
          <t>LAHOLM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46257</v>
      </c>
      <c r="F357" t="inlineStr">
        <is>
          <t>HALLANDS LÄN</t>
        </is>
      </c>
      <c r="G357" t="inlineStr">
        <is>
          <t>LAHOLM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46257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46257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64575-2021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46257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45855-2023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45195</v>
      </c>
      <c r="E361" s="1" t="n">
        <v>46257</v>
      </c>
      <c r="F361" t="inlineStr">
        <is>
          <t>HALLANDS LÄN</t>
        </is>
      </c>
      <c r="G361" t="inlineStr">
        <is>
          <t>LAHOLM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46257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46257</v>
      </c>
      <c r="F363" t="inlineStr">
        <is>
          <t>HALLANDS LÄN</t>
        </is>
      </c>
      <c r="G363" t="inlineStr">
        <is>
          <t>LAHOLM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46257</v>
      </c>
      <c r="F364" t="inlineStr">
        <is>
          <t>HALLANDS LÄN</t>
        </is>
      </c>
      <c r="G364" t="inlineStr">
        <is>
          <t>LAHOLM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6833-2022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44602</v>
      </c>
      <c r="E365" s="1" t="n">
        <v>46257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46257</v>
      </c>
      <c r="F366" t="inlineStr">
        <is>
          <t>HALLANDS LÄN</t>
        </is>
      </c>
      <c r="G366" t="inlineStr">
        <is>
          <t>LAHOLM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46257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46257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46257</v>
      </c>
      <c r="F369" t="inlineStr">
        <is>
          <t>HALLANDS LÄN</t>
        </is>
      </c>
      <c r="G369" t="inlineStr">
        <is>
          <t>LAHOLM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46257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46257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46257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46257</v>
      </c>
      <c r="F373" t="inlineStr">
        <is>
          <t>HALLANDS LÄN</t>
        </is>
      </c>
      <c r="G373" t="inlineStr">
        <is>
          <t>LAHOLM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46257</v>
      </c>
      <c r="F374" t="inlineStr">
        <is>
          <t>HALLANDS LÄN</t>
        </is>
      </c>
      <c r="G374" t="inlineStr">
        <is>
          <t>LAHOLM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44902</v>
      </c>
      <c r="E375" s="1" t="n">
        <v>46257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46257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46246</v>
      </c>
      <c r="E377" s="1" t="n">
        <v>46257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46257</v>
      </c>
      <c r="F378" t="inlineStr">
        <is>
          <t>HALLANDS LÄN</t>
        </is>
      </c>
      <c r="G378" t="inlineStr">
        <is>
          <t>LAHOLM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45135</v>
      </c>
      <c r="E379" s="1" t="n">
        <v>46257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46257</v>
      </c>
      <c r="F380" t="inlineStr">
        <is>
          <t>HALLANDS LÄN</t>
        </is>
      </c>
      <c r="G380" t="inlineStr">
        <is>
          <t>LAHOLM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46246</v>
      </c>
      <c r="E381" s="1" t="n">
        <v>46257</v>
      </c>
      <c r="F381" t="inlineStr">
        <is>
          <t>HALLANDS LÄN</t>
        </is>
      </c>
      <c r="G381" t="inlineStr">
        <is>
          <t>LAHOLM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45734</v>
      </c>
      <c r="E382" s="1" t="n">
        <v>46257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46257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46257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46257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46257</v>
      </c>
      <c r="F386" t="inlineStr">
        <is>
          <t>HALLANDS LÄN</t>
        </is>
      </c>
      <c r="G386" t="inlineStr">
        <is>
          <t>LAHOLM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45357</v>
      </c>
      <c r="E387" s="1" t="n">
        <v>46257</v>
      </c>
      <c r="F387" t="inlineStr">
        <is>
          <t>HALLANDS LÄN</t>
        </is>
      </c>
      <c r="G387" t="inlineStr">
        <is>
          <t>LAHOLM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45581</v>
      </c>
      <c r="E388" s="1" t="n">
        <v>46257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46257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46257</v>
      </c>
      <c r="F390" t="inlineStr">
        <is>
          <t>HALLANDS LÄN</t>
        </is>
      </c>
      <c r="G390" t="inlineStr">
        <is>
          <t>LAHOLM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46257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46251</v>
      </c>
      <c r="E392" s="1" t="n">
        <v>46257</v>
      </c>
      <c r="F392" t="inlineStr">
        <is>
          <t>HALLANDS LÄN</t>
        </is>
      </c>
      <c r="G392" t="inlineStr">
        <is>
          <t>LAHOLM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45174</v>
      </c>
      <c r="E393" s="1" t="n">
        <v>46257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46257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46257</v>
      </c>
      <c r="F395" t="inlineStr">
        <is>
          <t>HALLANDS LÄN</t>
        </is>
      </c>
      <c r="G395" t="inlineStr">
        <is>
          <t>LAHOLM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45582</v>
      </c>
      <c r="E396" s="1" t="n">
        <v>46257</v>
      </c>
      <c r="F396" t="inlineStr">
        <is>
          <t>HALLANDS LÄN</t>
        </is>
      </c>
      <c r="G396" t="inlineStr">
        <is>
          <t>LAHOLM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46257</v>
      </c>
      <c r="F397" t="inlineStr">
        <is>
          <t>HALLANDS LÄN</t>
        </is>
      </c>
      <c r="G397" t="inlineStr">
        <is>
          <t>LAHOLM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46257</v>
      </c>
      <c r="F398" t="inlineStr">
        <is>
          <t>HALLANDS LÄN</t>
        </is>
      </c>
      <c r="G398" t="inlineStr">
        <is>
          <t>LAHOLM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46257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45022</v>
      </c>
      <c r="E400" s="1" t="n">
        <v>46257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46257</v>
      </c>
      <c r="F401" t="inlineStr">
        <is>
          <t>HALLANDS LÄN</t>
        </is>
      </c>
      <c r="G401" t="inlineStr">
        <is>
          <t>LAHOLM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46257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45812</v>
      </c>
      <c r="E403" s="1" t="n">
        <v>46257</v>
      </c>
      <c r="F403" t="inlineStr">
        <is>
          <t>HALLANDS LÄN</t>
        </is>
      </c>
      <c r="G403" t="inlineStr">
        <is>
          <t>LAHOLM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46211</v>
      </c>
      <c r="E404" s="1" t="n">
        <v>46257</v>
      </c>
      <c r="F404" t="inlineStr">
        <is>
          <t>HALLANDS LÄN</t>
        </is>
      </c>
      <c r="G404" t="inlineStr">
        <is>
          <t>LAHOLM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46257</v>
      </c>
      <c r="F405" t="inlineStr">
        <is>
          <t>HALLANDS LÄN</t>
        </is>
      </c>
      <c r="G405" t="inlineStr">
        <is>
          <t>LAHOLM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46257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46257</v>
      </c>
      <c r="F407" t="inlineStr">
        <is>
          <t>HALLANDS LÄN</t>
        </is>
      </c>
      <c r="G407" t="inlineStr">
        <is>
          <t>LAHOLM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46257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Aktiebolag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45159</v>
      </c>
      <c r="E409" s="1" t="n">
        <v>46257</v>
      </c>
      <c r="F409" t="inlineStr">
        <is>
          <t>HALLANDS LÄN</t>
        </is>
      </c>
      <c r="G409" t="inlineStr">
        <is>
          <t>LAHOLM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46257</v>
      </c>
      <c r="F410" t="inlineStr">
        <is>
          <t>HALLANDS LÄN</t>
        </is>
      </c>
      <c r="G410" t="inlineStr">
        <is>
          <t>LAHOLM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46257</v>
      </c>
      <c r="F411" t="inlineStr">
        <is>
          <t>HALLANDS LÄN</t>
        </is>
      </c>
      <c r="G411" t="inlineStr">
        <is>
          <t>LAHOLM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46257</v>
      </c>
      <c r="F412" t="inlineStr">
        <is>
          <t>HALLANDS LÄN</t>
        </is>
      </c>
      <c r="G412" t="inlineStr">
        <is>
          <t>LAHOLM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46257</v>
      </c>
      <c r="F413" t="inlineStr">
        <is>
          <t>HALLANDS LÄN</t>
        </is>
      </c>
      <c r="G413" t="inlineStr">
        <is>
          <t>LAHOLM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46257</v>
      </c>
      <c r="F414" t="inlineStr">
        <is>
          <t>HALLANDS LÄN</t>
        </is>
      </c>
      <c r="G414" t="inlineStr">
        <is>
          <t>LAHOLM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46257</v>
      </c>
      <c r="F415" t="inlineStr">
        <is>
          <t>HALLANDS LÄN</t>
        </is>
      </c>
      <c r="G415" t="inlineStr">
        <is>
          <t>LAHOLM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46257</v>
      </c>
      <c r="F416" t="inlineStr">
        <is>
          <t>HALLANDS LÄN</t>
        </is>
      </c>
      <c r="G416" t="inlineStr">
        <is>
          <t>LAHOLM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46257</v>
      </c>
      <c r="F417" t="inlineStr">
        <is>
          <t>HALLANDS LÄN</t>
        </is>
      </c>
      <c r="G417" t="inlineStr">
        <is>
          <t>LAHOLM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46257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46257</v>
      </c>
      <c r="F419" t="inlineStr">
        <is>
          <t>HALLANDS LÄN</t>
        </is>
      </c>
      <c r="G419" t="inlineStr">
        <is>
          <t>LAHOLM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45282</v>
      </c>
      <c r="E420" s="1" t="n">
        <v>46257</v>
      </c>
      <c r="F420" t="inlineStr">
        <is>
          <t>HALLANDS LÄN</t>
        </is>
      </c>
      <c r="G420" t="inlineStr">
        <is>
          <t>LAHOLM</t>
        </is>
      </c>
      <c r="H420" t="inlineStr">
        <is>
          <t>Övriga Aktiebolag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45152</v>
      </c>
      <c r="E421" s="1" t="n">
        <v>46257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46257</v>
      </c>
      <c r="F422" t="inlineStr">
        <is>
          <t>HALLANDS LÄN</t>
        </is>
      </c>
      <c r="G422" t="inlineStr">
        <is>
          <t>LAHOLM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46257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45317</v>
      </c>
      <c r="E424" s="1" t="n">
        <v>46257</v>
      </c>
      <c r="F424" t="inlineStr">
        <is>
          <t>HALLANDS LÄN</t>
        </is>
      </c>
      <c r="G424" t="inlineStr">
        <is>
          <t>LAHOLM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45156</v>
      </c>
      <c r="E425" s="1" t="n">
        <v>46257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46257</v>
      </c>
      <c r="F426" t="inlineStr">
        <is>
          <t>HALLANDS LÄN</t>
        </is>
      </c>
      <c r="G426" t="inlineStr">
        <is>
          <t>LAHOLM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46257</v>
      </c>
      <c r="F427" t="inlineStr">
        <is>
          <t>HALLANDS LÄN</t>
        </is>
      </c>
      <c r="G427" t="inlineStr">
        <is>
          <t>LAHOLM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46257</v>
      </c>
      <c r="F428" t="inlineStr">
        <is>
          <t>HALLANDS LÄN</t>
        </is>
      </c>
      <c r="G428" t="inlineStr">
        <is>
          <t>LAHOLM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46257</v>
      </c>
      <c r="F429" t="inlineStr">
        <is>
          <t>HALLANDS LÄN</t>
        </is>
      </c>
      <c r="G429" t="inlineStr">
        <is>
          <t>LAHOLM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46257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46257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46257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46151</v>
      </c>
      <c r="E433" s="1" t="n">
        <v>46257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59429-2021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44491</v>
      </c>
      <c r="E434" s="1" t="n">
        <v>46257</v>
      </c>
      <c r="F434" t="inlineStr">
        <is>
          <t>HALLANDS LÄN</t>
        </is>
      </c>
      <c r="G434" t="inlineStr">
        <is>
          <t>LAHOLM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46257</v>
      </c>
      <c r="F435" t="inlineStr">
        <is>
          <t>HALLANDS LÄN</t>
        </is>
      </c>
      <c r="G435" t="inlineStr">
        <is>
          <t>LAHOLM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46257</v>
      </c>
      <c r="F436" t="inlineStr">
        <is>
          <t>HALLANDS LÄN</t>
        </is>
      </c>
      <c r="G436" t="inlineStr">
        <is>
          <t>LAHOLM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45415</v>
      </c>
      <c r="E437" s="1" t="n">
        <v>46257</v>
      </c>
      <c r="F437" t="inlineStr">
        <is>
          <t>HALLANDS LÄN</t>
        </is>
      </c>
      <c r="G437" t="inlineStr">
        <is>
          <t>LAHOLM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46257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46257</v>
      </c>
      <c r="F439" t="inlineStr">
        <is>
          <t>HALLANDS LÄN</t>
        </is>
      </c>
      <c r="G439" t="inlineStr">
        <is>
          <t>LAHOLM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53532-2024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45614</v>
      </c>
      <c r="E440" s="1" t="n">
        <v>46257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46257</v>
      </c>
      <c r="F441" t="inlineStr">
        <is>
          <t>HALLANDS LÄN</t>
        </is>
      </c>
      <c r="G441" t="inlineStr">
        <is>
          <t>LAHOLM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45685</v>
      </c>
      <c r="E442" s="1" t="n">
        <v>46257</v>
      </c>
      <c r="F442" t="inlineStr">
        <is>
          <t>HALLANDS LÄN</t>
        </is>
      </c>
      <c r="G442" t="inlineStr">
        <is>
          <t>LAHOLM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46257</v>
      </c>
      <c r="F443" t="inlineStr">
        <is>
          <t>HALLANDS LÄN</t>
        </is>
      </c>
      <c r="G443" t="inlineStr">
        <is>
          <t>LAHOLM</t>
        </is>
      </c>
      <c r="H443" t="inlineStr">
        <is>
          <t>Kommuner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46257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46257</v>
      </c>
      <c r="F445" t="inlineStr">
        <is>
          <t>HALLANDS LÄN</t>
        </is>
      </c>
      <c r="G445" t="inlineStr">
        <is>
          <t>LAHOLM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45695</v>
      </c>
      <c r="E446" s="1" t="n">
        <v>46257</v>
      </c>
      <c r="F446" t="inlineStr">
        <is>
          <t>HALLANDS LÄN</t>
        </is>
      </c>
      <c r="G446" t="inlineStr">
        <is>
          <t>LAHOLM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45273</v>
      </c>
      <c r="E447" s="1" t="n">
        <v>46257</v>
      </c>
      <c r="F447" t="inlineStr">
        <is>
          <t>HALLANDS LÄN</t>
        </is>
      </c>
      <c r="G447" t="inlineStr">
        <is>
          <t>LAHOLM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46257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46257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45000</v>
      </c>
      <c r="E450" s="1" t="n">
        <v>46257</v>
      </c>
      <c r="F450" t="inlineStr">
        <is>
          <t>HALLANDS LÄN</t>
        </is>
      </c>
      <c r="G450" t="inlineStr">
        <is>
          <t>LAHOLM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1918-2024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46257</v>
      </c>
      <c r="F451" t="inlineStr">
        <is>
          <t>HALLANDS LÄN</t>
        </is>
      </c>
      <c r="G451" t="inlineStr">
        <is>
          <t>LAHOLM</t>
        </is>
      </c>
      <c r="I451" t="n">
        <v>39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838-2023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44992</v>
      </c>
      <c r="E452" s="1" t="n">
        <v>46257</v>
      </c>
      <c r="F452" t="inlineStr">
        <is>
          <t>HALLANDS LÄN</t>
        </is>
      </c>
      <c r="G452" t="inlineStr">
        <is>
          <t>LAHOLM</t>
        </is>
      </c>
      <c r="H452" t="inlineStr">
        <is>
          <t>Kommuner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878-2023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44995</v>
      </c>
      <c r="E453" s="1" t="n">
        <v>46257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9294-2021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44517</v>
      </c>
      <c r="E454" s="1" t="n">
        <v>46257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44931</v>
      </c>
      <c r="E455" s="1" t="n">
        <v>46257</v>
      </c>
      <c r="F455" t="inlineStr">
        <is>
          <t>HALLANDS LÄN</t>
        </is>
      </c>
      <c r="G455" t="inlineStr">
        <is>
          <t>LAHOLM</t>
        </is>
      </c>
      <c r="I455" t="n">
        <v>85.90000000000001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5031-2024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45635</v>
      </c>
      <c r="E456" s="1" t="n">
        <v>46257</v>
      </c>
      <c r="F456" t="inlineStr">
        <is>
          <t>HALLANDS LÄN</t>
        </is>
      </c>
      <c r="G456" t="inlineStr">
        <is>
          <t>LAHOLM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1608-2025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45799</v>
      </c>
      <c r="E457" s="1" t="n">
        <v>46257</v>
      </c>
      <c r="F457" t="inlineStr">
        <is>
          <t>HALLANDS LÄN</t>
        </is>
      </c>
      <c r="G457" t="inlineStr">
        <is>
          <t>LAHOLM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9701-2021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44526</v>
      </c>
      <c r="E458" s="1" t="n">
        <v>46257</v>
      </c>
      <c r="F458" t="inlineStr">
        <is>
          <t>HALLANDS LÄN</t>
        </is>
      </c>
      <c r="G458" t="inlineStr">
        <is>
          <t>LAHOLM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45880</v>
      </c>
      <c r="E459" s="1" t="n">
        <v>46257</v>
      </c>
      <c r="F459" t="inlineStr">
        <is>
          <t>HALLANDS LÄN</t>
        </is>
      </c>
      <c r="G459" t="inlineStr">
        <is>
          <t>LAHOLM</t>
        </is>
      </c>
      <c r="I459" t="n">
        <v>55.6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2920-2025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45950</v>
      </c>
      <c r="E460" s="1" t="n">
        <v>46257</v>
      </c>
      <c r="F460" t="inlineStr">
        <is>
          <t>HALLANDS LÄN</t>
        </is>
      </c>
      <c r="G460" t="inlineStr">
        <is>
          <t>LAHOLM</t>
        </is>
      </c>
      <c r="I460" t="n">
        <v>30.1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46035</v>
      </c>
      <c r="E461" s="1" t="n">
        <v>46257</v>
      </c>
      <c r="F461" t="inlineStr">
        <is>
          <t>HALLANDS LÄN</t>
        </is>
      </c>
      <c r="G461" t="inlineStr">
        <is>
          <t>LAHOLM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442-2026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46072</v>
      </c>
      <c r="E462" s="1" t="n">
        <v>46257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46257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46257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674-2026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46257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721-2026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46094</v>
      </c>
      <c r="E466" s="1" t="n">
        <v>46257</v>
      </c>
      <c r="F466" t="inlineStr">
        <is>
          <t>HALLANDS LÄN</t>
        </is>
      </c>
      <c r="G466" t="inlineStr">
        <is>
          <t>LAHOLM</t>
        </is>
      </c>
      <c r="I466" t="n">
        <v>27.6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765-2026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46098</v>
      </c>
      <c r="E467" s="1" t="n">
        <v>46257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2026-08-23T01:54:59Z</dcterms:created>
  <dcterms:modified xmlns:dcterms="http://purl.org/dc/terms/" xmlns:xsi="http://www.w3.org/2001/XMLSchema-instance" xsi:type="dcterms:W3CDTF">2026-08-23T01:54:59Z</dcterms:modified>
</cp:coreProperties>
</file>