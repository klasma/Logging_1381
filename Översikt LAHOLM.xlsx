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46321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46321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46321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46321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46321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46321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46321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46321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Platt fjädermossa</t>
        </is>
      </c>
      <c r="W16">
        <f>HYPERLINK("https://klasma.github.io/Logging_1381/artfynd/A 45733-2022 artfynd.xlsx", "A 45733-2022")</f>
        <v/>
      </c>
      <c r="X16">
        <f>HYPERLINK("https://klasma.github.io/Logging_1381/kartor/A 45733-2022 karta.png", "A 45733-2022")</f>
        <v/>
      </c>
      <c r="Y16">
        <f>HYPERLINK("https://klasma.github.io/Logging_1381/kartor_geotiff/A 45733-2022 georefererad karta.tif", "A 45733-2022")</f>
        <v/>
      </c>
      <c r="AA16">
        <f>HYPERLINK("https://klasma.github.io/Logging_1381/klagomål/A 45733-2022 FSC-klagomål.docx", "A 45733-2022")</f>
        <v/>
      </c>
      <c r="AB16">
        <f>HYPERLINK("https://klasma.github.io/Logging_1381/klagomålsmail/A 45733-2022 FSC-klagomål mail.docx", "A 45733-2022")</f>
        <v/>
      </c>
      <c r="AC16">
        <f>HYPERLINK("https://klasma.github.io/Logging_1381/tillsyn/A 45733-2022 tillsynsbegäran.docx", "A 45733-2022")</f>
        <v/>
      </c>
      <c r="AD16">
        <f>HYPERLINK("https://klasma.github.io/Logging_1381/tillsynsmail/A 45733-2022 tillsynsbegäran mail.docx", "A 45733-2022")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46321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61519-2023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46321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15.9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Spillkråka
Kungsfågel</t>
        </is>
      </c>
      <c r="W18">
        <f>HYPERLINK("https://klasma.github.io/Logging_1381/artfynd/A 61519-2023 artfynd.xlsx", "A 61519-2023")</f>
        <v/>
      </c>
      <c r="X18">
        <f>HYPERLINK("https://klasma.github.io/Logging_1381/kartor/A 61519-2023 karta.png", "A 61519-2023")</f>
        <v/>
      </c>
      <c r="Y18">
        <f>HYPERLINK("https://klasma.github.io/Logging_1381/kartor_geotiff/A 61519-2023 georefererad karta.tif", "A 61519-2023")</f>
        <v/>
      </c>
      <c r="AA18">
        <f>HYPERLINK("https://klasma.github.io/Logging_1381/klagomål/A 61519-2023 FSC-klagomål.docx", "A 61519-2023")</f>
        <v/>
      </c>
      <c r="AB18">
        <f>HYPERLINK("https://klasma.github.io/Logging_1381/klagomålsmail/A 61519-2023 FSC-klagomål mail.docx", "A 61519-2023")</f>
        <v/>
      </c>
      <c r="AC18">
        <f>HYPERLINK("https://klasma.github.io/Logging_1381/tillsyn/A 61519-2023 tillsynsbegäran.docx", "A 61519-2023")</f>
        <v/>
      </c>
      <c r="AD18">
        <f>HYPERLINK("https://klasma.github.io/Logging_1381/tillsynsmail/A 61519-2023 tillsynsbegäran mail.docx", "A 61519-2023")</f>
        <v/>
      </c>
      <c r="AE18">
        <f>HYPERLINK("https://klasma.github.io/Logging_1381/fåglar/A 61519-2023 prioriterade fågelarter.docx", "A 61519-2023")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46321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46321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46321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35453-2023 artfynd.xlsx", "A 35453-2023")</f>
        <v/>
      </c>
      <c r="X23">
        <f>HYPERLINK("https://klasma.github.io/Logging_1381/kartor/A 35453-2023 karta.png", "A 35453-2023")</f>
        <v/>
      </c>
      <c r="Y23">
        <f>HYPERLINK("https://klasma.github.io/Logging_1381/kartor_geotiff/A 35453-2023 georefererad karta.tif", "A 35453-2023")</f>
        <v/>
      </c>
      <c r="AA23">
        <f>HYPERLINK("https://klasma.github.io/Logging_1381/klagomål/A 35453-2023 FSC-klagomål.docx", "A 35453-2023")</f>
        <v/>
      </c>
      <c r="AB23">
        <f>HYPERLINK("https://klasma.github.io/Logging_1381/klagomålsmail/A 35453-2023 FSC-klagomål mail.docx", "A 35453-2023")</f>
        <v/>
      </c>
      <c r="AC23">
        <f>HYPERLINK("https://klasma.github.io/Logging_1381/tillsyn/A 35453-2023 tillsynsbegäran.docx", "A 35453-2023")</f>
        <v/>
      </c>
      <c r="AD23">
        <f>HYPERLINK("https://klasma.github.io/Logging_1381/tillsynsmail/A 35453-2023 tillsynsbegäran mail.docx", "A 35453-2023")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46321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46321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37556-2023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45159</v>
      </c>
      <c r="E26" s="1" t="n">
        <v>46321</v>
      </c>
      <c r="F26" t="inlineStr">
        <is>
          <t>HALLANDS LÄN</t>
        </is>
      </c>
      <c r="G26" t="inlineStr">
        <is>
          <t>LAHOLM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2</v>
      </c>
      <c r="V26" s="2" t="inlineStr">
        <is>
          <t>Vildris</t>
        </is>
      </c>
      <c r="W26">
        <f>HYPERLINK("https://klasma.github.io/Logging_1381/artfynd/A 37556-2023 artfynd.xlsx", "A 37556-2023")</f>
        <v/>
      </c>
      <c r="X26">
        <f>HYPERLINK("https://klasma.github.io/Logging_1381/kartor/A 37556-2023 karta.png", "A 37556-2023")</f>
        <v/>
      </c>
      <c r="Y26">
        <f>HYPERLINK("https://klasma.github.io/Logging_1381/kartor_geotiff/A 37556-2023 georefererad karta.tif", "A 37556-2023")</f>
        <v/>
      </c>
      <c r="AA26">
        <f>HYPERLINK("https://klasma.github.io/Logging_1381/klagomål/A 37556-2023 FSC-klagomål.docx", "A 37556-2023")</f>
        <v/>
      </c>
      <c r="AB26">
        <f>HYPERLINK("https://klasma.github.io/Logging_1381/klagomålsmail/A 37556-2023 FSC-klagomål mail.docx", "A 37556-2023")</f>
        <v/>
      </c>
      <c r="AC26">
        <f>HYPERLINK("https://klasma.github.io/Logging_1381/tillsyn/A 37556-2023 tillsynsbegäran.docx", "A 37556-2023")</f>
        <v/>
      </c>
      <c r="AD26">
        <f>HYPERLINK("https://klasma.github.io/Logging_1381/tillsynsmail/A 37556-2023 tillsynsbegäran mail.docx", "A 37556-2023")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46321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HYPERLINK("https://klasma.github.io/Logging_1381/artfynd/A 3576-2025 artfynd.xlsx", "A 3576-2025")</f>
        <v/>
      </c>
      <c r="X27">
        <f>HYPERLINK("https://klasma.github.io/Logging_1381/kartor/A 3576-2025 karta.png", "A 3576-2025")</f>
        <v/>
      </c>
      <c r="Y27">
        <f>HYPERLINK("https://klasma.github.io/Logging_1381/kartor_geotiff/A 3576-2025 georefererad karta.tif", "A 3576-2025")</f>
        <v/>
      </c>
      <c r="AA27">
        <f>HYPERLINK("https://klasma.github.io/Logging_1381/klagomål/A 3576-2025 FSC-klagomål.docx", "A 3576-2025")</f>
        <v/>
      </c>
      <c r="AB27">
        <f>HYPERLINK("https://klasma.github.io/Logging_1381/klagomålsmail/A 3576-2025 FSC-klagomål mail.docx", "A 3576-2025")</f>
        <v/>
      </c>
      <c r="AC27">
        <f>HYPERLINK("https://klasma.github.io/Logging_1381/tillsyn/A 3576-2025 tillsynsbegäran.docx", "A 3576-2025")</f>
        <v/>
      </c>
      <c r="AD27">
        <f>HYPERLINK("https://klasma.github.io/Logging_1381/tillsynsmail/A 3576-2025 tillsynsbegäran mail.docx", "A 3576-2025")</f>
        <v/>
      </c>
      <c r="AE27">
        <f>HYPERLINK("https://klasma.github.io/Logging_1381/fåglar/A 3576-2025 prioriterade fågelarter.docx", "A 3576-2025")</f>
        <v/>
      </c>
    </row>
    <row r="28" ht="15" customHeight="1">
      <c r="A28" t="inlineStr">
        <is>
          <t>A 37722-2026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46279</v>
      </c>
      <c r="E28" s="1" t="n">
        <v>46321</v>
      </c>
      <c r="F28" t="inlineStr">
        <is>
          <t>HALLANDS LÄN</t>
        </is>
      </c>
      <c r="G28" t="inlineStr">
        <is>
          <t>LAHOLM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37722-2026 artfynd.xlsx", "A 37722-2026")</f>
        <v/>
      </c>
      <c r="X28">
        <f>HYPERLINK("https://klasma.github.io/Logging_1381/kartor/A 37722-2026 karta.png", "A 37722-2026")</f>
        <v/>
      </c>
      <c r="Y28">
        <f>HYPERLINK("https://klasma.github.io/Logging_1381/kartor_geotiff/A 37722-2026 georefererad karta.tif", "A 37722-2026")</f>
        <v/>
      </c>
      <c r="AA28">
        <f>HYPERLINK("https://klasma.github.io/Logging_1381/klagomål/A 37722-2026 FSC-klagomål.docx", "A 37722-2026")</f>
        <v/>
      </c>
      <c r="AB28">
        <f>HYPERLINK("https://klasma.github.io/Logging_1381/klagomålsmail/A 37722-2026 FSC-klagomål mail.docx", "A 37722-2026")</f>
        <v/>
      </c>
      <c r="AC28">
        <f>HYPERLINK("https://klasma.github.io/Logging_1381/tillsyn/A 37722-2026 tillsynsbegäran.docx", "A 37722-2026")</f>
        <v/>
      </c>
      <c r="AD28">
        <f>HYPERLINK("https://klasma.github.io/Logging_1381/tillsynsmail/A 37722-2026 tillsynsbegäran mail.docx", "A 37722-2026")</f>
        <v/>
      </c>
    </row>
    <row r="29" ht="15" customHeight="1">
      <c r="A29" t="inlineStr">
        <is>
          <t>A 33086-2026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46245</v>
      </c>
      <c r="E29" s="1" t="n">
        <v>46321</v>
      </c>
      <c r="F29" t="inlineStr">
        <is>
          <t>HALLANDS LÄN</t>
        </is>
      </c>
      <c r="G29" t="inlineStr">
        <is>
          <t>LAHOLM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 taggsvamp</t>
        </is>
      </c>
      <c r="W29">
        <f>HYPERLINK("https://klasma.github.io/Logging_1381/artfynd/A 33086-2026 artfynd.xlsx", "A 33086-2026")</f>
        <v/>
      </c>
      <c r="X29">
        <f>HYPERLINK("https://klasma.github.io/Logging_1381/kartor/A 33086-2026 karta.png", "A 33086-2026")</f>
        <v/>
      </c>
      <c r="Y29">
        <f>HYPERLINK("https://klasma.github.io/Logging_1381/kartor_geotiff/A 33086-2026 georefererad karta.tif", "A 33086-2026")</f>
        <v/>
      </c>
      <c r="AA29">
        <f>HYPERLINK("https://klasma.github.io/Logging_1381/klagomål/A 33086-2026 FSC-klagomål.docx", "A 33086-2026")</f>
        <v/>
      </c>
      <c r="AB29">
        <f>HYPERLINK("https://klasma.github.io/Logging_1381/klagomålsmail/A 33086-2026 FSC-klagomål mail.docx", "A 33086-2026")</f>
        <v/>
      </c>
      <c r="AC29">
        <f>HYPERLINK("https://klasma.github.io/Logging_1381/tillsyn/A 33086-2026 tillsynsbegäran.docx", "A 33086-2026")</f>
        <v/>
      </c>
      <c r="AD29">
        <f>HYPERLINK("https://klasma.github.io/Logging_1381/tillsynsmail/A 33086-2026 tillsynsbegäran mail.docx", "A 33086-2026")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46321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39795-2026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46321</v>
      </c>
      <c r="F31" t="inlineStr">
        <is>
          <t>HALLANDS LÄN</t>
        </is>
      </c>
      <c r="G31" t="inlineStr">
        <is>
          <t>LAHOLM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HYPERLINK("https://klasma.github.io/Logging_1381/artfynd/A 39795-2026 artfynd.xlsx", "A 39795-2026")</f>
        <v/>
      </c>
      <c r="X31">
        <f>HYPERLINK("https://klasma.github.io/Logging_1381/kartor/A 39795-2026 karta.png", "A 39795-2026")</f>
        <v/>
      </c>
      <c r="Y31">
        <f>HYPERLINK("https://klasma.github.io/Logging_1381/kartor_geotiff/A 39795-2026 georefererad karta.tif", "A 39795-2026")</f>
        <v/>
      </c>
      <c r="AA31">
        <f>HYPERLINK("https://klasma.github.io/Logging_1381/klagomål/A 39795-2026 FSC-klagomål.docx", "A 39795-2026")</f>
        <v/>
      </c>
      <c r="AB31">
        <f>HYPERLINK("https://klasma.github.io/Logging_1381/klagomålsmail/A 39795-2026 FSC-klagomål mail.docx", "A 39795-2026")</f>
        <v/>
      </c>
      <c r="AC31">
        <f>HYPERLINK("https://klasma.github.io/Logging_1381/tillsyn/A 39795-2026 tillsynsbegäran.docx", "A 39795-2026")</f>
        <v/>
      </c>
      <c r="AD31">
        <f>HYPERLINK("https://klasma.github.io/Logging_1381/tillsynsmail/A 39795-2026 tillsynsbegäran mail.docx", "A 39795-2026")</f>
        <v/>
      </c>
    </row>
    <row r="32" ht="15" customHeight="1">
      <c r="A32" t="inlineStr">
        <is>
          <t>A 27179-2025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46321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HYPERLINK("https://klasma.github.io/Logging_1381/artfynd/A 27179-2025 artfynd.xlsx", "A 27179-2025")</f>
        <v/>
      </c>
      <c r="X32">
        <f>HYPERLINK("https://klasma.github.io/Logging_1381/kartor/A 27179-2025 karta.png", "A 27179-2025")</f>
        <v/>
      </c>
      <c r="Y32">
        <f>HYPERLINK("https://klasma.github.io/Logging_1381/kartor_geotiff/A 27179-2025 georefererad karta.tif", "A 27179-2025")</f>
        <v/>
      </c>
      <c r="AA32">
        <f>HYPERLINK("https://klasma.github.io/Logging_1381/klagomål/A 27179-2025 FSC-klagomål.docx", "A 27179-2025")</f>
        <v/>
      </c>
      <c r="AB32">
        <f>HYPERLINK("https://klasma.github.io/Logging_1381/klagomålsmail/A 27179-2025 FSC-klagomål mail.docx", "A 27179-2025")</f>
        <v/>
      </c>
      <c r="AC32">
        <f>HYPERLINK("https://klasma.github.io/Logging_1381/tillsyn/A 27179-2025 tillsynsbegäran.docx", "A 27179-2025")</f>
        <v/>
      </c>
      <c r="AD32">
        <f>HYPERLINK("https://klasma.github.io/Logging_1381/tillsynsmail/A 27179-2025 tillsynsbegäran mail.docx", "A 27179-2025")</f>
        <v/>
      </c>
    </row>
    <row r="33" ht="15" customHeight="1">
      <c r="A33" t="inlineStr">
        <is>
          <t>A 55322-2025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46321</v>
      </c>
      <c r="F33" t="inlineStr">
        <is>
          <t>HALLANDS LÄN</t>
        </is>
      </c>
      <c r="G33" t="inlineStr">
        <is>
          <t>LAHOLM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Hårginst</t>
        </is>
      </c>
      <c r="W33">
        <f>HYPERLINK("https://klasma.github.io/Logging_1381/artfynd/A 55322-2025 artfynd.xlsx", "A 55322-2025")</f>
        <v/>
      </c>
      <c r="X33">
        <f>HYPERLINK("https://klasma.github.io/Logging_1381/kartor/A 55322-2025 karta.png", "A 55322-2025")</f>
        <v/>
      </c>
      <c r="Y33">
        <f>HYPERLINK("https://klasma.github.io/Logging_1381/kartor_geotiff/A 55322-2025 georefererad karta.tif", "A 55322-2025")</f>
        <v/>
      </c>
      <c r="AA33">
        <f>HYPERLINK("https://klasma.github.io/Logging_1381/klagomål/A 55322-2025 FSC-klagomål.docx", "A 55322-2025")</f>
        <v/>
      </c>
      <c r="AB33">
        <f>HYPERLINK("https://klasma.github.io/Logging_1381/klagomålsmail/A 55322-2025 FSC-klagomål mail.docx", "A 55322-2025")</f>
        <v/>
      </c>
      <c r="AC33">
        <f>HYPERLINK("https://klasma.github.io/Logging_1381/tillsyn/A 55322-2025 tillsynsbegäran.docx", "A 55322-2025")</f>
        <v/>
      </c>
      <c r="AD33">
        <f>HYPERLINK("https://klasma.github.io/Logging_1381/tillsynsmail/A 55322-2025 tillsynsbegäran mail.docx", "A 55322-2025")</f>
        <v/>
      </c>
    </row>
    <row r="34" ht="15" customHeight="1">
      <c r="A34" t="inlineStr">
        <is>
          <t>A 17642-2026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46121</v>
      </c>
      <c r="E34" s="1" t="n">
        <v>46321</v>
      </c>
      <c r="F34" t="inlineStr">
        <is>
          <t>HALLANDS LÄN</t>
        </is>
      </c>
      <c r="G34" t="inlineStr">
        <is>
          <t>LAHOLM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HYPERLINK("https://klasma.github.io/Logging_1381/artfynd/A 17642-2026 artfynd.xlsx", "A 17642-2026")</f>
        <v/>
      </c>
      <c r="X34">
        <f>HYPERLINK("https://klasma.github.io/Logging_1381/kartor/A 17642-2026 karta.png", "A 17642-2026")</f>
        <v/>
      </c>
      <c r="Y34">
        <f>HYPERLINK("https://klasma.github.io/Logging_1381/kartor_geotiff/A 17642-2026 georefererad karta.tif", "A 17642-2026")</f>
        <v/>
      </c>
      <c r="AA34">
        <f>HYPERLINK("https://klasma.github.io/Logging_1381/klagomål/A 17642-2026 FSC-klagomål.docx", "A 17642-2026")</f>
        <v/>
      </c>
      <c r="AB34">
        <f>HYPERLINK("https://klasma.github.io/Logging_1381/klagomålsmail/A 17642-2026 FSC-klagomål mail.docx", "A 17642-2026")</f>
        <v/>
      </c>
      <c r="AC34">
        <f>HYPERLINK("https://klasma.github.io/Logging_1381/tillsyn/A 17642-2026 tillsynsbegäran.docx", "A 17642-2026")</f>
        <v/>
      </c>
      <c r="AD34">
        <f>HYPERLINK("https://klasma.github.io/Logging_1381/tillsynsmail/A 17642-2026 tillsynsbegäran mail.docx", "A 17642-2026")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46321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46321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263-2023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46321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12.2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Ljungögontröst</t>
        </is>
      </c>
      <c r="W37">
        <f>HYPERLINK("https://klasma.github.io/Logging_1381/artfynd/A 263-2023 artfynd.xlsx", "A 263-2023")</f>
        <v/>
      </c>
      <c r="X37">
        <f>HYPERLINK("https://klasma.github.io/Logging_1381/kartor/A 263-2023 karta.png", "A 263-2023")</f>
        <v/>
      </c>
      <c r="Y37">
        <f>HYPERLINK("https://klasma.github.io/Logging_1381/kartor_geotiff/A 263-2023 georefererad karta.tif", "A 263-2023")</f>
        <v/>
      </c>
      <c r="AA37">
        <f>HYPERLINK("https://klasma.github.io/Logging_1381/klagomål/A 263-2023 FSC-klagomål.docx", "A 263-2023")</f>
        <v/>
      </c>
      <c r="AB37">
        <f>HYPERLINK("https://klasma.github.io/Logging_1381/klagomålsmail/A 263-2023 FSC-klagomål mail.docx", "A 263-2023")</f>
        <v/>
      </c>
      <c r="AC37">
        <f>HYPERLINK("https://klasma.github.io/Logging_1381/tillsyn/A 263-2023 tillsynsbegäran.docx", "A 263-2023")</f>
        <v/>
      </c>
      <c r="AD37">
        <f>HYPERLINK("https://klasma.github.io/Logging_1381/tillsynsmail/A 263-2023 tillsynsbegäran mail.docx", "A 263-2023")</f>
        <v/>
      </c>
    </row>
    <row r="38" ht="15" customHeight="1">
      <c r="A38" t="inlineStr">
        <is>
          <t>A 52155-2023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45224</v>
      </c>
      <c r="E38" s="1" t="n">
        <v>46321</v>
      </c>
      <c r="F38" t="inlineStr">
        <is>
          <t>HALLANDS LÄN</t>
        </is>
      </c>
      <c r="G38" t="inlineStr">
        <is>
          <t>LAHOLM</t>
        </is>
      </c>
      <c r="I38" t="n">
        <v>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HYPERLINK("https://klasma.github.io/Logging_1381/artfynd/A 52155-2023 artfynd.xlsx", "A 52155-2023")</f>
        <v/>
      </c>
      <c r="X38">
        <f>HYPERLINK("https://klasma.github.io/Logging_1381/kartor/A 52155-2023 karta.png", "A 52155-2023")</f>
        <v/>
      </c>
      <c r="Y38">
        <f>HYPERLINK("https://klasma.github.io/Logging_1381/kartor_geotiff/A 52155-2023 georefererad karta.tif", "A 52155-2023")</f>
        <v/>
      </c>
      <c r="AA38">
        <f>HYPERLINK("https://klasma.github.io/Logging_1381/klagomål/A 52155-2023 FSC-klagomål.docx", "A 52155-2023")</f>
        <v/>
      </c>
      <c r="AB38">
        <f>HYPERLINK("https://klasma.github.io/Logging_1381/klagomålsmail/A 52155-2023 FSC-klagomål mail.docx", "A 52155-2023")</f>
        <v/>
      </c>
      <c r="AC38">
        <f>HYPERLINK("https://klasma.github.io/Logging_1381/tillsyn/A 52155-2023 tillsynsbegäran.docx", "A 52155-2023")</f>
        <v/>
      </c>
      <c r="AD38">
        <f>HYPERLINK("https://klasma.github.io/Logging_1381/tillsynsmail/A 52155-2023 tillsynsbegäran mail.docx", "A 52155-2023")</f>
        <v/>
      </c>
      <c r="AE38">
        <f>HYPERLINK("https://klasma.github.io/Logging_1381/fåglar/A 52155-2023 prioriterade fågelarter.docx", "A 52155-2023")</f>
        <v/>
      </c>
    </row>
    <row r="39" ht="15" customHeight="1">
      <c r="A39" t="inlineStr">
        <is>
          <t>A 35897-2022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46321</v>
      </c>
      <c r="F39" t="inlineStr">
        <is>
          <t>HALLANDS LÄN</t>
        </is>
      </c>
      <c r="G39" t="inlineStr">
        <is>
          <t>LAHOLM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HYPERLINK("https://klasma.github.io/Logging_1381/artfynd/A 35897-2022 artfynd.xlsx", "A 35897-2022")</f>
        <v/>
      </c>
      <c r="X39">
        <f>HYPERLINK("https://klasma.github.io/Logging_1381/kartor/A 35897-2022 karta.png", "A 35897-2022")</f>
        <v/>
      </c>
      <c r="Y39">
        <f>HYPERLINK("https://klasma.github.io/Logging_1381/kartor_geotiff/A 35897-2022 georefererad karta.tif", "A 35897-2022")</f>
        <v/>
      </c>
      <c r="AA39">
        <f>HYPERLINK("https://klasma.github.io/Logging_1381/klagomål/A 35897-2022 FSC-klagomål.docx", "A 35897-2022")</f>
        <v/>
      </c>
      <c r="AB39">
        <f>HYPERLINK("https://klasma.github.io/Logging_1381/klagomålsmail/A 35897-2022 FSC-klagomål mail.docx", "A 35897-2022")</f>
        <v/>
      </c>
      <c r="AC39">
        <f>HYPERLINK("https://klasma.github.io/Logging_1381/tillsyn/A 35897-2022 tillsynsbegäran.docx", "A 35897-2022")</f>
        <v/>
      </c>
      <c r="AD39">
        <f>HYPERLINK("https://klasma.github.io/Logging_1381/tillsynsmail/A 35897-2022 tillsynsbegäran mail.docx", "A 35897-2022")</f>
        <v/>
      </c>
    </row>
    <row r="40" ht="15" customHeight="1">
      <c r="A40" t="inlineStr">
        <is>
          <t>A 5677-2022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44596</v>
      </c>
      <c r="E40" s="1" t="n">
        <v>46321</v>
      </c>
      <c r="F40" t="inlineStr">
        <is>
          <t>HALLANDS LÄN</t>
        </is>
      </c>
      <c r="G40" t="inlineStr">
        <is>
          <t>LAHOLM</t>
        </is>
      </c>
      <c r="I40" t="n">
        <v>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5677-2022 artfynd.xlsx", "A 5677-2022")</f>
        <v/>
      </c>
      <c r="X40">
        <f>HYPERLINK("https://klasma.github.io/Logging_1381/kartor/A 5677-2022 karta.png", "A 5677-2022")</f>
        <v/>
      </c>
      <c r="Y40">
        <f>HYPERLINK("https://klasma.github.io/Logging_1381/kartor_geotiff/A 5677-2022 georefererad karta.tif", "A 5677-2022")</f>
        <v/>
      </c>
      <c r="AA40">
        <f>HYPERLINK("https://klasma.github.io/Logging_1381/klagomål/A 5677-2022 FSC-klagomål.docx", "A 5677-2022")</f>
        <v/>
      </c>
      <c r="AB40">
        <f>HYPERLINK("https://klasma.github.io/Logging_1381/klagomålsmail/A 5677-2022 FSC-klagomål mail.docx", "A 5677-2022")</f>
        <v/>
      </c>
      <c r="AC40">
        <f>HYPERLINK("https://klasma.github.io/Logging_1381/tillsyn/A 5677-2022 tillsynsbegäran.docx", "A 5677-2022")</f>
        <v/>
      </c>
      <c r="AD40">
        <f>HYPERLINK("https://klasma.github.io/Logging_1381/tillsynsmail/A 5677-2022 tillsynsbegäran mail.docx", "A 5677-2022")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46321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46321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46321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46321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46321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46321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46321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46321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46321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46321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46321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46321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46321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46321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46321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46321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46321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46321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46321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46321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46321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46321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46321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46321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46321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46321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46321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46321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46321</v>
      </c>
      <c r="F69" t="inlineStr">
        <is>
          <t>HALLANDS LÄN</t>
        </is>
      </c>
      <c r="G69" t="inlineStr">
        <is>
          <t>LAHOLM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46321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46321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46321</v>
      </c>
      <c r="F72" t="inlineStr">
        <is>
          <t>HALLANDS LÄN</t>
        </is>
      </c>
      <c r="G72" t="inlineStr">
        <is>
          <t>LAHOLM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46321</v>
      </c>
      <c r="F73" t="inlineStr">
        <is>
          <t>HALLANDS LÄN</t>
        </is>
      </c>
      <c r="G73" t="inlineStr">
        <is>
          <t>LAHOLM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46321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46321</v>
      </c>
      <c r="F75" t="inlineStr">
        <is>
          <t>HALLANDS LÄN</t>
        </is>
      </c>
      <c r="G75" t="inlineStr">
        <is>
          <t>LAHOLM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46321</v>
      </c>
      <c r="F76" t="inlineStr">
        <is>
          <t>HALLANDS LÄN</t>
        </is>
      </c>
      <c r="G76" t="inlineStr">
        <is>
          <t>LAHOLM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46321</v>
      </c>
      <c r="F77" t="inlineStr">
        <is>
          <t>HALLANDS LÄN</t>
        </is>
      </c>
      <c r="G77" t="inlineStr">
        <is>
          <t>LAHOLM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46321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46321</v>
      </c>
      <c r="F79" t="inlineStr">
        <is>
          <t>HALLANDS LÄN</t>
        </is>
      </c>
      <c r="G79" t="inlineStr">
        <is>
          <t>LAHOLM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46321</v>
      </c>
      <c r="F80" t="inlineStr">
        <is>
          <t>HALLANDS LÄN</t>
        </is>
      </c>
      <c r="G80" t="inlineStr">
        <is>
          <t>LAHOLM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46321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46321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46321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46321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46321</v>
      </c>
      <c r="F85" t="inlineStr">
        <is>
          <t>HALLANDS LÄN</t>
        </is>
      </c>
      <c r="G85" t="inlineStr">
        <is>
          <t>LAHOLM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46321</v>
      </c>
      <c r="F86" t="inlineStr">
        <is>
          <t>HALLANDS LÄN</t>
        </is>
      </c>
      <c r="G86" t="inlineStr">
        <is>
          <t>LAHOLM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46321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46321</v>
      </c>
      <c r="F88" t="inlineStr">
        <is>
          <t>HALLANDS LÄN</t>
        </is>
      </c>
      <c r="G88" t="inlineStr">
        <is>
          <t>LAHOLM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46321</v>
      </c>
      <c r="F89" t="inlineStr">
        <is>
          <t>HALLANDS LÄN</t>
        </is>
      </c>
      <c r="G89" t="inlineStr">
        <is>
          <t>LAHOLM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46321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46321</v>
      </c>
      <c r="F91" t="inlineStr">
        <is>
          <t>HALLANDS LÄN</t>
        </is>
      </c>
      <c r="G91" t="inlineStr">
        <is>
          <t>LAHOLM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46321</v>
      </c>
      <c r="F92" t="inlineStr">
        <is>
          <t>HALLANDS LÄN</t>
        </is>
      </c>
      <c r="G92" t="inlineStr">
        <is>
          <t>LAHOLM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46321</v>
      </c>
      <c r="F93" t="inlineStr">
        <is>
          <t>HALLANDS LÄN</t>
        </is>
      </c>
      <c r="G93" t="inlineStr">
        <is>
          <t>LAHOLM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46321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46321</v>
      </c>
      <c r="F95" t="inlineStr">
        <is>
          <t>HALLANDS LÄN</t>
        </is>
      </c>
      <c r="G95" t="inlineStr">
        <is>
          <t>LAHOLM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46321</v>
      </c>
      <c r="F96" t="inlineStr">
        <is>
          <t>HALLANDS LÄN</t>
        </is>
      </c>
      <c r="G96" t="inlineStr">
        <is>
          <t>LAHOLM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45658</v>
      </c>
      <c r="E97" s="1" t="n">
        <v>46321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45035</v>
      </c>
      <c r="E98" s="1" t="n">
        <v>46321</v>
      </c>
      <c r="F98" t="inlineStr">
        <is>
          <t>HALLANDS LÄN</t>
        </is>
      </c>
      <c r="G98" t="inlineStr">
        <is>
          <t>LAHOLM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46321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46321</v>
      </c>
      <c r="F100" t="inlineStr">
        <is>
          <t>HALLANDS LÄN</t>
        </is>
      </c>
      <c r="G100" t="inlineStr">
        <is>
          <t>LAHOLM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46321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46321</v>
      </c>
      <c r="F102" t="inlineStr">
        <is>
          <t>HALLANDS LÄN</t>
        </is>
      </c>
      <c r="G102" t="inlineStr">
        <is>
          <t>LAHOLM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46321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45364</v>
      </c>
      <c r="E104" s="1" t="n">
        <v>46321</v>
      </c>
      <c r="F104" t="inlineStr">
        <is>
          <t>HALLANDS LÄN</t>
        </is>
      </c>
      <c r="G104" t="inlineStr">
        <is>
          <t>LAHOLM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46321</v>
      </c>
      <c r="F105" t="inlineStr">
        <is>
          <t>HALLANDS LÄN</t>
        </is>
      </c>
      <c r="G105" t="inlineStr">
        <is>
          <t>LAHOLM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46321</v>
      </c>
      <c r="F106" t="inlineStr">
        <is>
          <t>HALLANDS LÄN</t>
        </is>
      </c>
      <c r="G106" t="inlineStr">
        <is>
          <t>LAHOLM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46321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46321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46321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46321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46321</v>
      </c>
      <c r="F111" t="inlineStr">
        <is>
          <t>HALLANDS LÄN</t>
        </is>
      </c>
      <c r="G111" t="inlineStr">
        <is>
          <t>LAHOLM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46321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46321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46321</v>
      </c>
      <c r="F114" t="inlineStr">
        <is>
          <t>HALLANDS LÄN</t>
        </is>
      </c>
      <c r="G114" t="inlineStr">
        <is>
          <t>LAHOLM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25028-2026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46174</v>
      </c>
      <c r="E115" s="1" t="n">
        <v>46321</v>
      </c>
      <c r="F115" t="inlineStr">
        <is>
          <t>HALLANDS LÄN</t>
        </is>
      </c>
      <c r="G115" t="inlineStr">
        <is>
          <t>LAHOLM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46321</v>
      </c>
      <c r="F116" t="inlineStr">
        <is>
          <t>HALLANDS LÄN</t>
        </is>
      </c>
      <c r="G116" t="inlineStr">
        <is>
          <t>LAHOLM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46321</v>
      </c>
      <c r="F117" t="inlineStr">
        <is>
          <t>HALLANDS LÄN</t>
        </is>
      </c>
      <c r="G117" t="inlineStr">
        <is>
          <t>LAHOLM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46321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46321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46321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46321</v>
      </c>
      <c r="F121" t="inlineStr">
        <is>
          <t>HALLANDS LÄN</t>
        </is>
      </c>
      <c r="G121" t="inlineStr">
        <is>
          <t>LAHOLM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46321</v>
      </c>
      <c r="F122" t="inlineStr">
        <is>
          <t>HALLANDS LÄN</t>
        </is>
      </c>
      <c r="G122" t="inlineStr">
        <is>
          <t>LAHOLM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46321</v>
      </c>
      <c r="F123" t="inlineStr">
        <is>
          <t>HALLANDS LÄN</t>
        </is>
      </c>
      <c r="G123" t="inlineStr">
        <is>
          <t>LAHOLM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44602</v>
      </c>
      <c r="E124" s="1" t="n">
        <v>46321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44810</v>
      </c>
      <c r="E125" s="1" t="n">
        <v>46321</v>
      </c>
      <c r="F125" t="inlineStr">
        <is>
          <t>HALLANDS LÄN</t>
        </is>
      </c>
      <c r="G125" t="inlineStr">
        <is>
          <t>LAHOLM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46321</v>
      </c>
      <c r="F126" t="inlineStr">
        <is>
          <t>HALLANDS LÄN</t>
        </is>
      </c>
      <c r="G126" t="inlineStr">
        <is>
          <t>LAHOLM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46321</v>
      </c>
      <c r="F127" t="inlineStr">
        <is>
          <t>HALLANDS LÄN</t>
        </is>
      </c>
      <c r="G127" t="inlineStr">
        <is>
          <t>LAHOLM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45156</v>
      </c>
      <c r="E128" s="1" t="n">
        <v>46321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46321</v>
      </c>
      <c r="F129" t="inlineStr">
        <is>
          <t>HALLANDS LÄN</t>
        </is>
      </c>
      <c r="G129" t="inlineStr">
        <is>
          <t>LAHOLM</t>
        </is>
      </c>
      <c r="H129" t="inlineStr">
        <is>
          <t>Kommuner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46321</v>
      </c>
      <c r="F130" t="inlineStr">
        <is>
          <t>HALLANDS LÄN</t>
        </is>
      </c>
      <c r="G130" t="inlineStr">
        <is>
          <t>LAHOLM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45603</v>
      </c>
      <c r="E131" s="1" t="n">
        <v>46321</v>
      </c>
      <c r="F131" t="inlineStr">
        <is>
          <t>HALLANDS LÄN</t>
        </is>
      </c>
      <c r="G131" t="inlineStr">
        <is>
          <t>LAHOLM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46321</v>
      </c>
      <c r="F132" t="inlineStr">
        <is>
          <t>HALLANDS LÄN</t>
        </is>
      </c>
      <c r="G132" t="inlineStr">
        <is>
          <t>LAHOLM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27223-2026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46184</v>
      </c>
      <c r="E133" s="1" t="n">
        <v>46321</v>
      </c>
      <c r="F133" t="inlineStr">
        <is>
          <t>HALLANDS LÄN</t>
        </is>
      </c>
      <c r="G133" t="inlineStr">
        <is>
          <t>LAHOLM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45959</v>
      </c>
      <c r="E134" s="1" t="n">
        <v>46321</v>
      </c>
      <c r="F134" t="inlineStr">
        <is>
          <t>HALLANDS LÄN</t>
        </is>
      </c>
      <c r="G134" t="inlineStr">
        <is>
          <t>LAHOLM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46321</v>
      </c>
      <c r="F135" t="inlineStr">
        <is>
          <t>HALLANDS LÄN</t>
        </is>
      </c>
      <c r="G135" t="inlineStr">
        <is>
          <t>LAHOLM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46321</v>
      </c>
      <c r="F136" t="inlineStr">
        <is>
          <t>HALLANDS LÄN</t>
        </is>
      </c>
      <c r="G136" t="inlineStr">
        <is>
          <t>LAHOLM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46321</v>
      </c>
      <c r="F137" t="inlineStr">
        <is>
          <t>HALLANDS LÄN</t>
        </is>
      </c>
      <c r="G137" t="inlineStr">
        <is>
          <t>LAHOLM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46321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46321</v>
      </c>
      <c r="F139" t="inlineStr">
        <is>
          <t>HALLANDS LÄN</t>
        </is>
      </c>
      <c r="G139" t="inlineStr">
        <is>
          <t>LAHOLM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46321</v>
      </c>
      <c r="F140" t="inlineStr">
        <is>
          <t>HALLANDS LÄN</t>
        </is>
      </c>
      <c r="G140" t="inlineStr">
        <is>
          <t>LAHOLM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45664</v>
      </c>
      <c r="E141" s="1" t="n">
        <v>46321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46321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46321</v>
      </c>
      <c r="F143" t="inlineStr">
        <is>
          <t>HALLANDS LÄN</t>
        </is>
      </c>
      <c r="G143" t="inlineStr">
        <is>
          <t>LAHOLM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46196</v>
      </c>
      <c r="E144" s="1" t="n">
        <v>46321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46196</v>
      </c>
      <c r="E145" s="1" t="n">
        <v>46321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46321</v>
      </c>
      <c r="F146" t="inlineStr">
        <is>
          <t>HALLANDS LÄN</t>
        </is>
      </c>
      <c r="G146" t="inlineStr">
        <is>
          <t>LAHOLM</t>
        </is>
      </c>
      <c r="H146" t="inlineStr">
        <is>
          <t>Övriga statliga verk och myndigheter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46321</v>
      </c>
      <c r="F147" t="inlineStr">
        <is>
          <t>HALLANDS LÄN</t>
        </is>
      </c>
      <c r="G147" t="inlineStr">
        <is>
          <t>LAHOLM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46321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45303</v>
      </c>
      <c r="E149" s="1" t="n">
        <v>46321</v>
      </c>
      <c r="F149" t="inlineStr">
        <is>
          <t>HALLANDS LÄN</t>
        </is>
      </c>
      <c r="G149" t="inlineStr">
        <is>
          <t>LAHOLM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45119</v>
      </c>
      <c r="E150" s="1" t="n">
        <v>46321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46321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46321</v>
      </c>
      <c r="F152" t="inlineStr">
        <is>
          <t>HALLANDS LÄN</t>
        </is>
      </c>
      <c r="G152" t="inlineStr">
        <is>
          <t>LAHOLM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46321</v>
      </c>
      <c r="F153" t="inlineStr">
        <is>
          <t>HALLANDS LÄN</t>
        </is>
      </c>
      <c r="G153" t="inlineStr">
        <is>
          <t>LAHOLM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46321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46321</v>
      </c>
      <c r="F155" t="inlineStr">
        <is>
          <t>HALLANDS LÄN</t>
        </is>
      </c>
      <c r="G155" t="inlineStr">
        <is>
          <t>LAHOLM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46321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45130</v>
      </c>
      <c r="E157" s="1" t="n">
        <v>46321</v>
      </c>
      <c r="F157" t="inlineStr">
        <is>
          <t>HALLANDS LÄN</t>
        </is>
      </c>
      <c r="G157" t="inlineStr">
        <is>
          <t>LAHOLM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46321</v>
      </c>
      <c r="F158" t="inlineStr">
        <is>
          <t>HALLANDS LÄN</t>
        </is>
      </c>
      <c r="G158" t="inlineStr">
        <is>
          <t>LAHOLM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46321</v>
      </c>
      <c r="F159" t="inlineStr">
        <is>
          <t>HALLANDS LÄN</t>
        </is>
      </c>
      <c r="G159" t="inlineStr">
        <is>
          <t>LAHOLM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46209</v>
      </c>
      <c r="E160" s="1" t="n">
        <v>46321</v>
      </c>
      <c r="F160" t="inlineStr">
        <is>
          <t>HALLANDS LÄN</t>
        </is>
      </c>
      <c r="G160" t="inlineStr">
        <is>
          <t>LAHOLM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46321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44929</v>
      </c>
      <c r="E162" s="1" t="n">
        <v>46321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46321</v>
      </c>
      <c r="F163" t="inlineStr">
        <is>
          <t>HALLANDS LÄN</t>
        </is>
      </c>
      <c r="G163" t="inlineStr">
        <is>
          <t>LAHOLM</t>
        </is>
      </c>
      <c r="H163" t="inlineStr">
        <is>
          <t>Övriga Aktiebolag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46211</v>
      </c>
      <c r="E164" s="1" t="n">
        <v>46321</v>
      </c>
      <c r="F164" t="inlineStr">
        <is>
          <t>HALLANDS LÄN</t>
        </is>
      </c>
      <c r="G164" t="inlineStr">
        <is>
          <t>LAHOLM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46321</v>
      </c>
      <c r="F165" t="inlineStr">
        <is>
          <t>HALLANDS LÄN</t>
        </is>
      </c>
      <c r="G165" t="inlineStr">
        <is>
          <t>LAHOLM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46321</v>
      </c>
      <c r="F166" t="inlineStr">
        <is>
          <t>HALLANDS LÄN</t>
        </is>
      </c>
      <c r="G166" t="inlineStr">
        <is>
          <t>LAHOLM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45206</v>
      </c>
      <c r="E167" s="1" t="n">
        <v>46321</v>
      </c>
      <c r="F167" t="inlineStr">
        <is>
          <t>HALLANDS LÄN</t>
        </is>
      </c>
      <c r="G167" t="inlineStr">
        <is>
          <t>LAHOLM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46321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46321</v>
      </c>
      <c r="F169" t="inlineStr">
        <is>
          <t>HALLANDS LÄN</t>
        </is>
      </c>
      <c r="G169" t="inlineStr">
        <is>
          <t>LAHOLM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46321</v>
      </c>
      <c r="F170" t="inlineStr">
        <is>
          <t>HALLANDS LÄN</t>
        </is>
      </c>
      <c r="G170" t="inlineStr">
        <is>
          <t>LAHOLM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46321</v>
      </c>
      <c r="F171" t="inlineStr">
        <is>
          <t>HALLANDS LÄN</t>
        </is>
      </c>
      <c r="G171" t="inlineStr">
        <is>
          <t>LAHOLM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46222</v>
      </c>
      <c r="E172" s="1" t="n">
        <v>46321</v>
      </c>
      <c r="F172" t="inlineStr">
        <is>
          <t>HALLANDS LÄN</t>
        </is>
      </c>
      <c r="G172" t="inlineStr">
        <is>
          <t>LAHOLM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46321</v>
      </c>
      <c r="F173" t="inlineStr">
        <is>
          <t>HALLANDS LÄN</t>
        </is>
      </c>
      <c r="G173" t="inlineStr">
        <is>
          <t>LAHOLM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46321</v>
      </c>
      <c r="F174" t="inlineStr">
        <is>
          <t>HALLANDS LÄN</t>
        </is>
      </c>
      <c r="G174" t="inlineStr">
        <is>
          <t>LAHOLM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46321</v>
      </c>
      <c r="F175" t="inlineStr">
        <is>
          <t>HALLANDS LÄN</t>
        </is>
      </c>
      <c r="G175" t="inlineStr">
        <is>
          <t>LAHOLM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46321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46321</v>
      </c>
      <c r="F177" t="inlineStr">
        <is>
          <t>HALLANDS LÄN</t>
        </is>
      </c>
      <c r="G177" t="inlineStr">
        <is>
          <t>LAHOLM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46321</v>
      </c>
      <c r="F178" t="inlineStr">
        <is>
          <t>HALLANDS LÄN</t>
        </is>
      </c>
      <c r="G178" t="inlineStr">
        <is>
          <t>LAHOLM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45994</v>
      </c>
      <c r="E179" s="1" t="n">
        <v>46321</v>
      </c>
      <c r="F179" t="inlineStr">
        <is>
          <t>HALLANDS LÄN</t>
        </is>
      </c>
      <c r="G179" t="inlineStr">
        <is>
          <t>LAHOLM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46321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46321</v>
      </c>
      <c r="F181" t="inlineStr">
        <is>
          <t>HALLANDS LÄN</t>
        </is>
      </c>
      <c r="G181" t="inlineStr">
        <is>
          <t>LAHOLM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46279</v>
      </c>
      <c r="E182" s="1" t="n">
        <v>46321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46321</v>
      </c>
      <c r="F183" t="inlineStr">
        <is>
          <t>HALLANDS LÄN</t>
        </is>
      </c>
      <c r="G183" t="inlineStr">
        <is>
          <t>LAHOLM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46321</v>
      </c>
      <c r="F184" t="inlineStr">
        <is>
          <t>HALLANDS LÄN</t>
        </is>
      </c>
      <c r="G184" t="inlineStr">
        <is>
          <t>LAHOLM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46321</v>
      </c>
      <c r="F185" t="inlineStr">
        <is>
          <t>HALLANDS LÄN</t>
        </is>
      </c>
      <c r="G185" t="inlineStr">
        <is>
          <t>LAHOLM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46321</v>
      </c>
      <c r="F186" t="inlineStr">
        <is>
          <t>HALLANDS LÄN</t>
        </is>
      </c>
      <c r="G186" t="inlineStr">
        <is>
          <t>LAHOLM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46321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46321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46321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46321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46321</v>
      </c>
      <c r="F191" t="inlineStr">
        <is>
          <t>HALLANDS LÄN</t>
        </is>
      </c>
      <c r="G191" t="inlineStr">
        <is>
          <t>LAHOLM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46321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45644</v>
      </c>
      <c r="E193" s="1" t="n">
        <v>46321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46321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46321</v>
      </c>
      <c r="F195" t="inlineStr">
        <is>
          <t>HALLANDS LÄN</t>
        </is>
      </c>
      <c r="G195" t="inlineStr">
        <is>
          <t>LAHOLM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3022-2026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46038</v>
      </c>
      <c r="E196" s="1" t="n">
        <v>46321</v>
      </c>
      <c r="F196" t="inlineStr">
        <is>
          <t>HALLANDS LÄN</t>
        </is>
      </c>
      <c r="G196" t="inlineStr">
        <is>
          <t>LAHOLM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46321</v>
      </c>
      <c r="F197" t="inlineStr">
        <is>
          <t>HALLANDS LÄN</t>
        </is>
      </c>
      <c r="G197" t="inlineStr">
        <is>
          <t>LAHOLM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46321</v>
      </c>
      <c r="F198" t="inlineStr">
        <is>
          <t>HALLANDS LÄN</t>
        </is>
      </c>
      <c r="G198" t="inlineStr">
        <is>
          <t>LAHOLM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46321</v>
      </c>
      <c r="F199" t="inlineStr">
        <is>
          <t>HALLANDS LÄN</t>
        </is>
      </c>
      <c r="G199" t="inlineStr">
        <is>
          <t>LAHOLM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46321</v>
      </c>
      <c r="F200" t="inlineStr">
        <is>
          <t>HALLANDS LÄN</t>
        </is>
      </c>
      <c r="G200" t="inlineStr">
        <is>
          <t>LAHOLM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46321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46321</v>
      </c>
      <c r="F202" t="inlineStr">
        <is>
          <t>HALLANDS LÄN</t>
        </is>
      </c>
      <c r="G202" t="inlineStr">
        <is>
          <t>LAHOLM</t>
        </is>
      </c>
      <c r="H202" t="inlineStr">
        <is>
          <t>Kyrkan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46321</v>
      </c>
      <c r="F203" t="inlineStr">
        <is>
          <t>HALLANDS LÄN</t>
        </is>
      </c>
      <c r="G203" t="inlineStr">
        <is>
          <t>LAHOLM</t>
        </is>
      </c>
      <c r="H203" t="inlineStr">
        <is>
          <t>Kyrkan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46321</v>
      </c>
      <c r="F204" t="inlineStr">
        <is>
          <t>HALLANDS LÄN</t>
        </is>
      </c>
      <c r="G204" t="inlineStr">
        <is>
          <t>LAHOLM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46321</v>
      </c>
      <c r="F205" t="inlineStr">
        <is>
          <t>HALLANDS LÄN</t>
        </is>
      </c>
      <c r="G205" t="inlineStr">
        <is>
          <t>LAHOLM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46246</v>
      </c>
      <c r="E206" s="1" t="n">
        <v>46321</v>
      </c>
      <c r="F206" t="inlineStr">
        <is>
          <t>HALLANDS LÄN</t>
        </is>
      </c>
      <c r="G206" t="inlineStr">
        <is>
          <t>LAHOLM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46321</v>
      </c>
      <c r="F207" t="inlineStr">
        <is>
          <t>HALLANDS LÄN</t>
        </is>
      </c>
      <c r="G207" t="inlineStr">
        <is>
          <t>LAHOLM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46321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46321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46321</v>
      </c>
      <c r="F210" t="inlineStr">
        <is>
          <t>HALLANDS LÄN</t>
        </is>
      </c>
      <c r="G210" t="inlineStr">
        <is>
          <t>LAHOLM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45171</v>
      </c>
      <c r="E211" s="1" t="n">
        <v>46321</v>
      </c>
      <c r="F211" t="inlineStr">
        <is>
          <t>HALLANDS LÄN</t>
        </is>
      </c>
      <c r="G211" t="inlineStr">
        <is>
          <t>LAHOLM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46321</v>
      </c>
      <c r="F212" t="inlineStr">
        <is>
          <t>HALLANDS LÄN</t>
        </is>
      </c>
      <c r="G212" t="inlineStr">
        <is>
          <t>LAHOLM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46321</v>
      </c>
      <c r="F213" t="inlineStr">
        <is>
          <t>HALLANDS LÄN</t>
        </is>
      </c>
      <c r="G213" t="inlineStr">
        <is>
          <t>LAHOLM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46321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46321</v>
      </c>
      <c r="F215" t="inlineStr">
        <is>
          <t>HALLANDS LÄN</t>
        </is>
      </c>
      <c r="G215" t="inlineStr">
        <is>
          <t>LAHOLM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46321</v>
      </c>
      <c r="F216" t="inlineStr">
        <is>
          <t>HALLANDS LÄN</t>
        </is>
      </c>
      <c r="G216" t="inlineStr">
        <is>
          <t>LAHOLM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46321</v>
      </c>
      <c r="F217" t="inlineStr">
        <is>
          <t>HALLANDS LÄN</t>
        </is>
      </c>
      <c r="G217" t="inlineStr">
        <is>
          <t>LAHOLM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46297</v>
      </c>
      <c r="E218" s="1" t="n">
        <v>46321</v>
      </c>
      <c r="F218" t="inlineStr">
        <is>
          <t>HALLANDS LÄN</t>
        </is>
      </c>
      <c r="G218" t="inlineStr">
        <is>
          <t>LAHOLM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46321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12788-2026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46321</v>
      </c>
      <c r="F220" t="inlineStr">
        <is>
          <t>HALLANDS LÄN</t>
        </is>
      </c>
      <c r="G220" t="inlineStr">
        <is>
          <t>LAHOLM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46297</v>
      </c>
      <c r="E221" s="1" t="n">
        <v>46321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46321</v>
      </c>
      <c r="F222" t="inlineStr">
        <is>
          <t>HALLANDS LÄN</t>
        </is>
      </c>
      <c r="G222" t="inlineStr">
        <is>
          <t>LAHOLM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45239</v>
      </c>
      <c r="E223" s="1" t="n">
        <v>46321</v>
      </c>
      <c r="F223" t="inlineStr">
        <is>
          <t>HALLANDS LÄN</t>
        </is>
      </c>
      <c r="G223" t="inlineStr">
        <is>
          <t>LAHOLM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46321</v>
      </c>
      <c r="F224" t="inlineStr">
        <is>
          <t>HALLANDS LÄN</t>
        </is>
      </c>
      <c r="G224" t="inlineStr">
        <is>
          <t>LAHOLM</t>
        </is>
      </c>
      <c r="I224" t="n">
        <v>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46321</v>
      </c>
      <c r="F225" t="inlineStr">
        <is>
          <t>HALLANDS LÄN</t>
        </is>
      </c>
      <c r="G225" t="inlineStr">
        <is>
          <t>LAHOLM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46297</v>
      </c>
      <c r="E226" s="1" t="n">
        <v>46321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13998-2026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46098</v>
      </c>
      <c r="E227" s="1" t="n">
        <v>46321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46321</v>
      </c>
      <c r="F228" t="inlineStr">
        <is>
          <t>HALLANDS LÄN</t>
        </is>
      </c>
      <c r="G228" t="inlineStr">
        <is>
          <t>LAHOLM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46321</v>
      </c>
      <c r="F229" t="inlineStr">
        <is>
          <t>HALLANDS LÄN</t>
        </is>
      </c>
      <c r="G229" t="inlineStr">
        <is>
          <t>LAHOLM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46321</v>
      </c>
      <c r="F230" t="inlineStr">
        <is>
          <t>HALLANDS LÄN</t>
        </is>
      </c>
      <c r="G230" t="inlineStr">
        <is>
          <t>LAHOLM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46297</v>
      </c>
      <c r="E231" s="1" t="n">
        <v>46321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46321</v>
      </c>
      <c r="F232" t="inlineStr">
        <is>
          <t>HALLANDS LÄN</t>
        </is>
      </c>
      <c r="G232" t="inlineStr">
        <is>
          <t>LAHOLM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45843</v>
      </c>
      <c r="E233" s="1" t="n">
        <v>46321</v>
      </c>
      <c r="F233" t="inlineStr">
        <is>
          <t>HALLANDS LÄN</t>
        </is>
      </c>
      <c r="G233" t="inlineStr">
        <is>
          <t>LAHOLM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46321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46321</v>
      </c>
      <c r="F235" t="inlineStr">
        <is>
          <t>HALLANDS LÄN</t>
        </is>
      </c>
      <c r="G235" t="inlineStr">
        <is>
          <t>LAHOLM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46321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46321</v>
      </c>
      <c r="F237" t="inlineStr">
        <is>
          <t>HALLANDS LÄN</t>
        </is>
      </c>
      <c r="G237" t="inlineStr">
        <is>
          <t>LAHOLM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44922</v>
      </c>
      <c r="E238" s="1" t="n">
        <v>46321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46321</v>
      </c>
      <c r="F239" t="inlineStr">
        <is>
          <t>HALLANDS LÄN</t>
        </is>
      </c>
      <c r="G239" t="inlineStr">
        <is>
          <t>LAHOLM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46321</v>
      </c>
      <c r="F240" t="inlineStr">
        <is>
          <t>HALLANDS LÄN</t>
        </is>
      </c>
      <c r="G240" t="inlineStr">
        <is>
          <t>LAHOLM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46321</v>
      </c>
      <c r="F241" t="inlineStr">
        <is>
          <t>HALLANDS LÄN</t>
        </is>
      </c>
      <c r="G241" t="inlineStr">
        <is>
          <t>LAHOLM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46321</v>
      </c>
      <c r="F242" t="inlineStr">
        <is>
          <t>HALLANDS LÄN</t>
        </is>
      </c>
      <c r="G242" t="inlineStr">
        <is>
          <t>LAHOLM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46321</v>
      </c>
      <c r="F243" t="inlineStr">
        <is>
          <t>HALLANDS LÄN</t>
        </is>
      </c>
      <c r="G243" t="inlineStr">
        <is>
          <t>LAHOLM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46321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45734</v>
      </c>
      <c r="E245" s="1" t="n">
        <v>46321</v>
      </c>
      <c r="F245" t="inlineStr">
        <is>
          <t>HALLANDS LÄN</t>
        </is>
      </c>
      <c r="G245" t="inlineStr">
        <is>
          <t>LAHOLM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46321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46321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46321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46321</v>
      </c>
      <c r="F249" t="inlineStr">
        <is>
          <t>HALLANDS LÄN</t>
        </is>
      </c>
      <c r="G249" t="inlineStr">
        <is>
          <t>LAHOLM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46321</v>
      </c>
      <c r="F250" t="inlineStr">
        <is>
          <t>HALLANDS LÄN</t>
        </is>
      </c>
      <c r="G250" t="inlineStr">
        <is>
          <t>LAHOLM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46321</v>
      </c>
      <c r="F251" t="inlineStr">
        <is>
          <t>HALLANDS LÄN</t>
        </is>
      </c>
      <c r="G251" t="inlineStr">
        <is>
          <t>LAHOLM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25478-2025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45802</v>
      </c>
      <c r="E252" s="1" t="n">
        <v>46321</v>
      </c>
      <c r="F252" t="inlineStr">
        <is>
          <t>HALLANDS LÄN</t>
        </is>
      </c>
      <c r="G252" t="inlineStr">
        <is>
          <t>LAHOLM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64566-2021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44511</v>
      </c>
      <c r="E253" s="1" t="n">
        <v>46321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64575-2021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46321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46321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44902</v>
      </c>
      <c r="E256" s="1" t="n">
        <v>46321</v>
      </c>
      <c r="F256" t="inlineStr">
        <is>
          <t>HALLANDS LÄN</t>
        </is>
      </c>
      <c r="G256" t="inlineStr">
        <is>
          <t>LAHOLM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46321</v>
      </c>
      <c r="F257" t="inlineStr">
        <is>
          <t>HALLANDS LÄN</t>
        </is>
      </c>
      <c r="G257" t="inlineStr">
        <is>
          <t>LAHOLM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46321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46321</v>
      </c>
      <c r="F259" t="inlineStr">
        <is>
          <t>HALLANDS LÄN</t>
        </is>
      </c>
      <c r="G259" t="inlineStr">
        <is>
          <t>LAHOLM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46321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46321</v>
      </c>
      <c r="F261" t="inlineStr">
        <is>
          <t>HALLANDS LÄN</t>
        </is>
      </c>
      <c r="G261" t="inlineStr">
        <is>
          <t>LAHOLM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46321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46321</v>
      </c>
      <c r="F263" t="inlineStr">
        <is>
          <t>HALLANDS LÄN</t>
        </is>
      </c>
      <c r="G263" t="inlineStr">
        <is>
          <t>LAHOLM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46321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46321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46321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46321</v>
      </c>
      <c r="F267" t="inlineStr">
        <is>
          <t>HALLANDS LÄN</t>
        </is>
      </c>
      <c r="G267" t="inlineStr">
        <is>
          <t>LAHOLM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46321</v>
      </c>
      <c r="F268" t="inlineStr">
        <is>
          <t>HALLANDS LÄN</t>
        </is>
      </c>
      <c r="G268" t="inlineStr">
        <is>
          <t>LAHOLM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46321</v>
      </c>
      <c r="F269" t="inlineStr">
        <is>
          <t>HALLANDS LÄN</t>
        </is>
      </c>
      <c r="G269" t="inlineStr">
        <is>
          <t>LAHOLM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46321</v>
      </c>
      <c r="F270" t="inlineStr">
        <is>
          <t>HALLANDS LÄN</t>
        </is>
      </c>
      <c r="G270" t="inlineStr">
        <is>
          <t>LAHOLM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45450</v>
      </c>
      <c r="E271" s="1" t="n">
        <v>46321</v>
      </c>
      <c r="F271" t="inlineStr">
        <is>
          <t>HALLANDS LÄN</t>
        </is>
      </c>
      <c r="G271" t="inlineStr">
        <is>
          <t>LAHOLM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46321</v>
      </c>
      <c r="F272" t="inlineStr">
        <is>
          <t>HALLANDS LÄN</t>
        </is>
      </c>
      <c r="G272" t="inlineStr">
        <is>
          <t>LAHOLM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39903-2023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45168</v>
      </c>
      <c r="E273" s="1" t="n">
        <v>46321</v>
      </c>
      <c r="F273" t="inlineStr">
        <is>
          <t>HALLANDS LÄN</t>
        </is>
      </c>
      <c r="G273" t="inlineStr">
        <is>
          <t>LAHOLM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46321</v>
      </c>
      <c r="F274" t="inlineStr">
        <is>
          <t>HALLANDS LÄN</t>
        </is>
      </c>
      <c r="G274" t="inlineStr">
        <is>
          <t>LAHOLM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46321</v>
      </c>
      <c r="F275" t="inlineStr">
        <is>
          <t>HALLANDS LÄN</t>
        </is>
      </c>
      <c r="G275" t="inlineStr">
        <is>
          <t>LAHOLM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46321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45730</v>
      </c>
      <c r="E277" s="1" t="n">
        <v>46321</v>
      </c>
      <c r="F277" t="inlineStr">
        <is>
          <t>HALLANDS LÄN</t>
        </is>
      </c>
      <c r="G277" t="inlineStr">
        <is>
          <t>LAHOLM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46321</v>
      </c>
      <c r="F278" t="inlineStr">
        <is>
          <t>HALLANDS LÄN</t>
        </is>
      </c>
      <c r="G278" t="inlineStr">
        <is>
          <t>LAHOLM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46321</v>
      </c>
      <c r="F279" t="inlineStr">
        <is>
          <t>HALLANDS LÄN</t>
        </is>
      </c>
      <c r="G279" t="inlineStr">
        <is>
          <t>LAHOLM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46321</v>
      </c>
      <c r="F280" t="inlineStr">
        <is>
          <t>HALLANDS LÄN</t>
        </is>
      </c>
      <c r="G280" t="inlineStr">
        <is>
          <t>LAHOLM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46321</v>
      </c>
      <c r="F281" t="inlineStr">
        <is>
          <t>HALLANDS LÄN</t>
        </is>
      </c>
      <c r="G281" t="inlineStr">
        <is>
          <t>LAHOLM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44645</v>
      </c>
      <c r="E282" s="1" t="n">
        <v>46321</v>
      </c>
      <c r="F282" t="inlineStr">
        <is>
          <t>HALLANDS LÄN</t>
        </is>
      </c>
      <c r="G282" t="inlineStr">
        <is>
          <t>LAHOLM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46321</v>
      </c>
      <c r="F283" t="inlineStr">
        <is>
          <t>HALLANDS LÄN</t>
        </is>
      </c>
      <c r="G283" t="inlineStr">
        <is>
          <t>LAHOLM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73894-2021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46321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45363</v>
      </c>
      <c r="E285" s="1" t="n">
        <v>46321</v>
      </c>
      <c r="F285" t="inlineStr">
        <is>
          <t>HALLANDS LÄN</t>
        </is>
      </c>
      <c r="G285" t="inlineStr">
        <is>
          <t>LAHOLM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46321</v>
      </c>
      <c r="F286" t="inlineStr">
        <is>
          <t>HALLANDS LÄN</t>
        </is>
      </c>
      <c r="G286" t="inlineStr">
        <is>
          <t>LAHOLM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46321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45555</v>
      </c>
      <c r="E288" s="1" t="n">
        <v>46321</v>
      </c>
      <c r="F288" t="inlineStr">
        <is>
          <t>HALLANDS LÄN</t>
        </is>
      </c>
      <c r="G288" t="inlineStr">
        <is>
          <t>LAHOLM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45070</v>
      </c>
      <c r="E289" s="1" t="n">
        <v>46321</v>
      </c>
      <c r="F289" t="inlineStr">
        <is>
          <t>HALLANDS LÄN</t>
        </is>
      </c>
      <c r="G289" t="inlineStr">
        <is>
          <t>LAHOLM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46321</v>
      </c>
      <c r="F290" t="inlineStr">
        <is>
          <t>HALLANDS LÄN</t>
        </is>
      </c>
      <c r="G290" t="inlineStr">
        <is>
          <t>LAHOLM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45730</v>
      </c>
      <c r="E291" s="1" t="n">
        <v>46321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46321</v>
      </c>
      <c r="F292" t="inlineStr">
        <is>
          <t>HALLANDS LÄN</t>
        </is>
      </c>
      <c r="G292" t="inlineStr">
        <is>
          <t>LAHOLM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45635</v>
      </c>
      <c r="E293" s="1" t="n">
        <v>46321</v>
      </c>
      <c r="F293" t="inlineStr">
        <is>
          <t>HALLANDS LÄN</t>
        </is>
      </c>
      <c r="G293" t="inlineStr">
        <is>
          <t>LAHOLM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46321</v>
      </c>
      <c r="F294" t="inlineStr">
        <is>
          <t>HALLANDS LÄN</t>
        </is>
      </c>
      <c r="G294" t="inlineStr">
        <is>
          <t>LAHOLM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46321</v>
      </c>
      <c r="F295" t="inlineStr">
        <is>
          <t>HALLANDS LÄN</t>
        </is>
      </c>
      <c r="G295" t="inlineStr">
        <is>
          <t>LAHOLM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63674-2023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46321</v>
      </c>
      <c r="F296" t="inlineStr">
        <is>
          <t>HALLANDS LÄN</t>
        </is>
      </c>
      <c r="G296" t="inlineStr">
        <is>
          <t>LAHOLM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46321</v>
      </c>
      <c r="F297" t="inlineStr">
        <is>
          <t>HALLANDS LÄN</t>
        </is>
      </c>
      <c r="G297" t="inlineStr">
        <is>
          <t>LAHOLM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46321</v>
      </c>
      <c r="F298" t="inlineStr">
        <is>
          <t>HALLANDS LÄN</t>
        </is>
      </c>
      <c r="G298" t="inlineStr">
        <is>
          <t>LAHOLM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46321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46321</v>
      </c>
      <c r="F300" t="inlineStr">
        <is>
          <t>HALLANDS LÄN</t>
        </is>
      </c>
      <c r="G300" t="inlineStr">
        <is>
          <t>LAHOLM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46321</v>
      </c>
      <c r="F301" t="inlineStr">
        <is>
          <t>HALLANDS LÄN</t>
        </is>
      </c>
      <c r="G301" t="inlineStr">
        <is>
          <t>LAHOLM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46321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46303</v>
      </c>
      <c r="E303" s="1" t="n">
        <v>46321</v>
      </c>
      <c r="F303" t="inlineStr">
        <is>
          <t>HALLANDS LÄN</t>
        </is>
      </c>
      <c r="G303" t="inlineStr">
        <is>
          <t>LAHOLM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46307</v>
      </c>
      <c r="E304" s="1" t="n">
        <v>46321</v>
      </c>
      <c r="F304" t="inlineStr">
        <is>
          <t>HALLANDS LÄN</t>
        </is>
      </c>
      <c r="G304" t="inlineStr">
        <is>
          <t>LAHOLM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46307</v>
      </c>
      <c r="E305" s="1" t="n">
        <v>46321</v>
      </c>
      <c r="F305" t="inlineStr">
        <is>
          <t>HALLANDS LÄN</t>
        </is>
      </c>
      <c r="G305" t="inlineStr">
        <is>
          <t>LAHOLM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46321</v>
      </c>
      <c r="F306" t="inlineStr">
        <is>
          <t>HALLANDS LÄN</t>
        </is>
      </c>
      <c r="G306" t="inlineStr">
        <is>
          <t>LAHOLM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46321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46321</v>
      </c>
      <c r="F308" t="inlineStr">
        <is>
          <t>HALLANDS LÄN</t>
        </is>
      </c>
      <c r="G308" t="inlineStr">
        <is>
          <t>LAHOLM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46321</v>
      </c>
      <c r="F309" t="inlineStr">
        <is>
          <t>HALLANDS LÄN</t>
        </is>
      </c>
      <c r="G309" t="inlineStr">
        <is>
          <t>LAHOLM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46321</v>
      </c>
      <c r="F310" t="inlineStr">
        <is>
          <t>HALLANDS LÄN</t>
        </is>
      </c>
      <c r="G310" t="inlineStr">
        <is>
          <t>LAHOLM</t>
        </is>
      </c>
      <c r="H310" t="inlineStr">
        <is>
          <t>Sveaskog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46321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46321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45349</v>
      </c>
      <c r="E313" s="1" t="n">
        <v>46321</v>
      </c>
      <c r="F313" t="inlineStr">
        <is>
          <t>HALLANDS LÄN</t>
        </is>
      </c>
      <c r="G313" t="inlineStr">
        <is>
          <t>LAHOLM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46321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46321</v>
      </c>
      <c r="F315" t="inlineStr">
        <is>
          <t>HALLANDS LÄN</t>
        </is>
      </c>
      <c r="G315" t="inlineStr">
        <is>
          <t>LAHOLM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44639</v>
      </c>
      <c r="E316" s="1" t="n">
        <v>46321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46321</v>
      </c>
      <c r="F317" t="inlineStr">
        <is>
          <t>HALLANDS LÄN</t>
        </is>
      </c>
      <c r="G317" t="inlineStr">
        <is>
          <t>LAHOLM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46321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46255</v>
      </c>
      <c r="E319" s="1" t="n">
        <v>46321</v>
      </c>
      <c r="F319" t="inlineStr">
        <is>
          <t>HALLANDS LÄN</t>
        </is>
      </c>
      <c r="G319" t="inlineStr">
        <is>
          <t>LAHOLM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46321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46321</v>
      </c>
      <c r="F321" t="inlineStr">
        <is>
          <t>HALLANDS LÄN</t>
        </is>
      </c>
      <c r="G321" t="inlineStr">
        <is>
          <t>LAHOLM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46321</v>
      </c>
      <c r="F322" t="inlineStr">
        <is>
          <t>HALLANDS LÄN</t>
        </is>
      </c>
      <c r="G322" t="inlineStr">
        <is>
          <t>LAHOLM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46321</v>
      </c>
      <c r="F323" t="inlineStr">
        <is>
          <t>HALLANDS LÄN</t>
        </is>
      </c>
      <c r="G323" t="inlineStr">
        <is>
          <t>LAHOLM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46311</v>
      </c>
      <c r="E324" s="1" t="n">
        <v>46321</v>
      </c>
      <c r="F324" t="inlineStr">
        <is>
          <t>HALLANDS LÄN</t>
        </is>
      </c>
      <c r="G324" t="inlineStr">
        <is>
          <t>LAHOLM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46321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46321</v>
      </c>
      <c r="F326" t="inlineStr">
        <is>
          <t>HALLANDS LÄN</t>
        </is>
      </c>
      <c r="G326" t="inlineStr">
        <is>
          <t>LAHOLM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46311</v>
      </c>
      <c r="E327" s="1" t="n">
        <v>46321</v>
      </c>
      <c r="F327" t="inlineStr">
        <is>
          <t>HALLANDS LÄN</t>
        </is>
      </c>
      <c r="G327" t="inlineStr">
        <is>
          <t>LAHOLM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61785-2021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46321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45519</v>
      </c>
      <c r="E329" s="1" t="n">
        <v>46321</v>
      </c>
      <c r="F329" t="inlineStr">
        <is>
          <t>HALLANDS LÄN</t>
        </is>
      </c>
      <c r="G329" t="inlineStr">
        <is>
          <t>LAHOLM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45680</v>
      </c>
      <c r="E330" s="1" t="n">
        <v>46321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46321</v>
      </c>
      <c r="F331" t="inlineStr">
        <is>
          <t>HALLANDS LÄN</t>
        </is>
      </c>
      <c r="G331" t="inlineStr">
        <is>
          <t>LAHOLM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45812</v>
      </c>
      <c r="E332" s="1" t="n">
        <v>46321</v>
      </c>
      <c r="F332" t="inlineStr">
        <is>
          <t>HALLANDS LÄN</t>
        </is>
      </c>
      <c r="G332" t="inlineStr">
        <is>
          <t>LAHOLM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45364</v>
      </c>
      <c r="E333" s="1" t="n">
        <v>46321</v>
      </c>
      <c r="F333" t="inlineStr">
        <is>
          <t>HALLANDS LÄN</t>
        </is>
      </c>
      <c r="G333" t="inlineStr">
        <is>
          <t>LAHOLM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46321</v>
      </c>
      <c r="F334" t="inlineStr">
        <is>
          <t>HALLANDS LÄN</t>
        </is>
      </c>
      <c r="G334" t="inlineStr">
        <is>
          <t>LAHOLM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46272</v>
      </c>
      <c r="E335" s="1" t="n">
        <v>46321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46321</v>
      </c>
      <c r="F336" t="inlineStr">
        <is>
          <t>HALLANDS LÄN</t>
        </is>
      </c>
      <c r="G336" t="inlineStr">
        <is>
          <t>LAHOLM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45320</v>
      </c>
      <c r="E337" s="1" t="n">
        <v>46321</v>
      </c>
      <c r="F337" t="inlineStr">
        <is>
          <t>HALLANDS LÄN</t>
        </is>
      </c>
      <c r="G337" t="inlineStr">
        <is>
          <t>LAHOLM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46321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46321</v>
      </c>
      <c r="F339" t="inlineStr">
        <is>
          <t>HALLANDS LÄN</t>
        </is>
      </c>
      <c r="G339" t="inlineStr">
        <is>
          <t>LAHOLM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45195</v>
      </c>
      <c r="E340" s="1" t="n">
        <v>46321</v>
      </c>
      <c r="F340" t="inlineStr">
        <is>
          <t>HALLANDS LÄN</t>
        </is>
      </c>
      <c r="G340" t="inlineStr">
        <is>
          <t>LAHOLM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46321</v>
      </c>
      <c r="F341" t="inlineStr">
        <is>
          <t>HALLANDS LÄN</t>
        </is>
      </c>
      <c r="G341" t="inlineStr">
        <is>
          <t>LAHOLM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46321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46321</v>
      </c>
      <c r="F343" t="inlineStr">
        <is>
          <t>HALLANDS LÄN</t>
        </is>
      </c>
      <c r="G343" t="inlineStr">
        <is>
          <t>LAHOLM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46321</v>
      </c>
      <c r="F344" t="inlineStr">
        <is>
          <t>HALLANDS LÄN</t>
        </is>
      </c>
      <c r="G344" t="inlineStr">
        <is>
          <t>LAHOLM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46321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46321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46321</v>
      </c>
      <c r="F347" t="inlineStr">
        <is>
          <t>HALLANDS LÄN</t>
        </is>
      </c>
      <c r="G347" t="inlineStr">
        <is>
          <t>LAHOLM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45089</v>
      </c>
      <c r="E348" s="1" t="n">
        <v>46321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46151</v>
      </c>
      <c r="E349" s="1" t="n">
        <v>46321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46321</v>
      </c>
      <c r="F350" t="inlineStr">
        <is>
          <t>HALLANDS LÄN</t>
        </is>
      </c>
      <c r="G350" t="inlineStr">
        <is>
          <t>LAHOLM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45006</v>
      </c>
      <c r="E351" s="1" t="n">
        <v>46321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44895</v>
      </c>
      <c r="E352" s="1" t="n">
        <v>46321</v>
      </c>
      <c r="F352" t="inlineStr">
        <is>
          <t>HALLANDS LÄN</t>
        </is>
      </c>
      <c r="G352" t="inlineStr">
        <is>
          <t>LAHOLM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46321</v>
      </c>
      <c r="F353" t="inlineStr">
        <is>
          <t>HALLANDS LÄN</t>
        </is>
      </c>
      <c r="G353" t="inlineStr">
        <is>
          <t>LAHOLM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46321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Aktiebolag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46321</v>
      </c>
      <c r="F355" t="inlineStr">
        <is>
          <t>HALLANDS LÄN</t>
        </is>
      </c>
      <c r="G355" t="inlineStr">
        <is>
          <t>LAHOLM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42562-2022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44831</v>
      </c>
      <c r="E356" s="1" t="n">
        <v>46321</v>
      </c>
      <c r="F356" t="inlineStr">
        <is>
          <t>HALLANDS LÄN</t>
        </is>
      </c>
      <c r="G356" t="inlineStr">
        <is>
          <t>LAHOLM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46321</v>
      </c>
      <c r="F357" t="inlineStr">
        <is>
          <t>HALLANDS LÄN</t>
        </is>
      </c>
      <c r="G357" t="inlineStr">
        <is>
          <t>LAHOLM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44909</v>
      </c>
      <c r="E358" s="1" t="n">
        <v>46321</v>
      </c>
      <c r="F358" t="inlineStr">
        <is>
          <t>HALLANDS LÄN</t>
        </is>
      </c>
      <c r="G358" t="inlineStr">
        <is>
          <t>LAHOLM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46321</v>
      </c>
      <c r="F359" t="inlineStr">
        <is>
          <t>HALLANDS LÄN</t>
        </is>
      </c>
      <c r="G359" t="inlineStr">
        <is>
          <t>LAHOLM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46321</v>
      </c>
      <c r="F360" t="inlineStr">
        <is>
          <t>HALLANDS LÄN</t>
        </is>
      </c>
      <c r="G360" t="inlineStr">
        <is>
          <t>LAHOLM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45582</v>
      </c>
      <c r="E361" s="1" t="n">
        <v>46321</v>
      </c>
      <c r="F361" t="inlineStr">
        <is>
          <t>HALLANDS LÄN</t>
        </is>
      </c>
      <c r="G361" t="inlineStr">
        <is>
          <t>LAHOLM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44677</v>
      </c>
      <c r="E362" s="1" t="n">
        <v>46321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46321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46321</v>
      </c>
      <c r="F364" t="inlineStr">
        <is>
          <t>HALLANDS LÄN</t>
        </is>
      </c>
      <c r="G364" t="inlineStr">
        <is>
          <t>LAHOLM</t>
        </is>
      </c>
      <c r="H364" t="inlineStr">
        <is>
          <t>Naturvårdsverket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46321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46321</v>
      </c>
      <c r="F366" t="inlineStr">
        <is>
          <t>HALLANDS LÄN</t>
        </is>
      </c>
      <c r="G366" t="inlineStr">
        <is>
          <t>LAHOLM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45544</v>
      </c>
      <c r="E367" s="1" t="n">
        <v>46321</v>
      </c>
      <c r="F367" t="inlineStr">
        <is>
          <t>HALLANDS LÄN</t>
        </is>
      </c>
      <c r="G367" t="inlineStr">
        <is>
          <t>LAHOLM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46321</v>
      </c>
      <c r="F368" t="inlineStr">
        <is>
          <t>HALLANDS LÄN</t>
        </is>
      </c>
      <c r="G368" t="inlineStr">
        <is>
          <t>LAHOLM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45006</v>
      </c>
      <c r="E369" s="1" t="n">
        <v>46321</v>
      </c>
      <c r="F369" t="inlineStr">
        <is>
          <t>HALLANDS LÄN</t>
        </is>
      </c>
      <c r="G369" t="inlineStr">
        <is>
          <t>LAHOLM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46321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45687</v>
      </c>
      <c r="E371" s="1" t="n">
        <v>46321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44902</v>
      </c>
      <c r="E372" s="1" t="n">
        <v>46321</v>
      </c>
      <c r="F372" t="inlineStr">
        <is>
          <t>HALLANDS LÄN</t>
        </is>
      </c>
      <c r="G372" t="inlineStr">
        <is>
          <t>LAHOLM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44603</v>
      </c>
      <c r="E373" s="1" t="n">
        <v>46321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45474</v>
      </c>
      <c r="E374" s="1" t="n">
        <v>46321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45253</v>
      </c>
      <c r="E375" s="1" t="n">
        <v>46321</v>
      </c>
      <c r="F375" t="inlineStr">
        <is>
          <t>HALLANDS LÄN</t>
        </is>
      </c>
      <c r="G375" t="inlineStr">
        <is>
          <t>LAHOLM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46321</v>
      </c>
      <c r="F376" t="inlineStr">
        <is>
          <t>HALLANDS LÄN</t>
        </is>
      </c>
      <c r="G376" t="inlineStr">
        <is>
          <t>LAHOLM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45278</v>
      </c>
      <c r="E377" s="1" t="n">
        <v>46321</v>
      </c>
      <c r="F377" t="inlineStr">
        <is>
          <t>HALLANDS LÄN</t>
        </is>
      </c>
      <c r="G377" t="inlineStr">
        <is>
          <t>LAHOLM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45342</v>
      </c>
      <c r="E378" s="1" t="n">
        <v>46321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46321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46321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46321</v>
      </c>
      <c r="F381" t="inlineStr">
        <is>
          <t>HALLANDS LÄN</t>
        </is>
      </c>
      <c r="G381" t="inlineStr">
        <is>
          <t>LAHOLM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46321</v>
      </c>
      <c r="F382" t="inlineStr">
        <is>
          <t>HALLANDS LÄN</t>
        </is>
      </c>
      <c r="G382" t="inlineStr">
        <is>
          <t>LAHOLM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46321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46321</v>
      </c>
      <c r="F384" t="inlineStr">
        <is>
          <t>HALLANDS LÄN</t>
        </is>
      </c>
      <c r="G384" t="inlineStr">
        <is>
          <t>LAHOLM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44949</v>
      </c>
      <c r="E385" s="1" t="n">
        <v>46321</v>
      </c>
      <c r="F385" t="inlineStr">
        <is>
          <t>HALLANDS LÄN</t>
        </is>
      </c>
      <c r="G385" t="inlineStr">
        <is>
          <t>LAHOLM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45582</v>
      </c>
      <c r="E386" s="1" t="n">
        <v>46321</v>
      </c>
      <c r="F386" t="inlineStr">
        <is>
          <t>HALLANDS LÄN</t>
        </is>
      </c>
      <c r="G386" t="inlineStr">
        <is>
          <t>LAHOLM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46321</v>
      </c>
      <c r="F387" t="inlineStr">
        <is>
          <t>HALLANDS LÄN</t>
        </is>
      </c>
      <c r="G387" t="inlineStr">
        <is>
          <t>LAHOLM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15837-2023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45022</v>
      </c>
      <c r="E388" s="1" t="n">
        <v>46321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67861-2021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44525</v>
      </c>
      <c r="E389" s="1" t="n">
        <v>46321</v>
      </c>
      <c r="F389" t="inlineStr">
        <is>
          <t>HALLANDS LÄN</t>
        </is>
      </c>
      <c r="G389" t="inlineStr">
        <is>
          <t>LAHOLM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46321</v>
      </c>
      <c r="F390" t="inlineStr">
        <is>
          <t>HALLANDS LÄN</t>
        </is>
      </c>
      <c r="G390" t="inlineStr">
        <is>
          <t>LAHOLM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46321</v>
      </c>
      <c r="F391" t="inlineStr">
        <is>
          <t>HALLANDS LÄN</t>
        </is>
      </c>
      <c r="G391" t="inlineStr">
        <is>
          <t>LAHOLM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9479-2023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44981</v>
      </c>
      <c r="E392" s="1" t="n">
        <v>46321</v>
      </c>
      <c r="F392" t="inlineStr">
        <is>
          <t>HALLANDS LÄN</t>
        </is>
      </c>
      <c r="G392" t="inlineStr">
        <is>
          <t>LAHOLM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46321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46321</v>
      </c>
      <c r="F394" t="inlineStr">
        <is>
          <t>HALLANDS LÄN</t>
        </is>
      </c>
      <c r="G394" t="inlineStr">
        <is>
          <t>LAHOLM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45126</v>
      </c>
      <c r="E395" s="1" t="n">
        <v>46321</v>
      </c>
      <c r="F395" t="inlineStr">
        <is>
          <t>HALLANDS LÄN</t>
        </is>
      </c>
      <c r="G395" t="inlineStr">
        <is>
          <t>LAHOLM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46321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46321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46321</v>
      </c>
      <c r="F398" t="inlineStr">
        <is>
          <t>HALLANDS LÄN</t>
        </is>
      </c>
      <c r="G398" t="inlineStr">
        <is>
          <t>LAHOLM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46321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46321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46321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46321</v>
      </c>
      <c r="F402" t="inlineStr">
        <is>
          <t>HALLANDS LÄN</t>
        </is>
      </c>
      <c r="G402" t="inlineStr">
        <is>
          <t>LAHOLM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46321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45139</v>
      </c>
      <c r="E404" s="1" t="n">
        <v>46321</v>
      </c>
      <c r="F404" t="inlineStr">
        <is>
          <t>HALLANDS LÄN</t>
        </is>
      </c>
      <c r="G404" t="inlineStr">
        <is>
          <t>LAHOLM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60341-2024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45643</v>
      </c>
      <c r="E405" s="1" t="n">
        <v>46321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46321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35523-2024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46321</v>
      </c>
      <c r="F407" t="inlineStr">
        <is>
          <t>HALLANDS LÄN</t>
        </is>
      </c>
      <c r="G407" t="inlineStr">
        <is>
          <t>LAHOLM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46321</v>
      </c>
      <c r="F408" t="inlineStr">
        <is>
          <t>HALLANDS LÄN</t>
        </is>
      </c>
      <c r="G408" t="inlineStr">
        <is>
          <t>LAHOLM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44802</v>
      </c>
      <c r="E409" s="1" t="n">
        <v>46321</v>
      </c>
      <c r="F409" t="inlineStr">
        <is>
          <t>HALLANDS LÄN</t>
        </is>
      </c>
      <c r="G409" t="inlineStr">
        <is>
          <t>LAHOLM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44600</v>
      </c>
      <c r="E410" s="1" t="n">
        <v>46321</v>
      </c>
      <c r="F410" t="inlineStr">
        <is>
          <t>HALLANDS LÄN</t>
        </is>
      </c>
      <c r="G410" t="inlineStr">
        <is>
          <t>LAHOLM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44594</v>
      </c>
      <c r="E411" s="1" t="n">
        <v>46321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46321</v>
      </c>
      <c r="F412" t="inlineStr">
        <is>
          <t>HALLANDS LÄN</t>
        </is>
      </c>
      <c r="G412" t="inlineStr">
        <is>
          <t>LAHOLM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46321</v>
      </c>
      <c r="F413" t="inlineStr">
        <is>
          <t>HALLANDS LÄN</t>
        </is>
      </c>
      <c r="G413" t="inlineStr">
        <is>
          <t>LAHOLM</t>
        </is>
      </c>
      <c r="I413" t="n">
        <v>12.9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44532</v>
      </c>
      <c r="E414" s="1" t="n">
        <v>46321</v>
      </c>
      <c r="F414" t="inlineStr">
        <is>
          <t>HALLANDS LÄN</t>
        </is>
      </c>
      <c r="G414" t="inlineStr">
        <is>
          <t>LAHOLM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18820-2024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45426</v>
      </c>
      <c r="E415" s="1" t="n">
        <v>46321</v>
      </c>
      <c r="F415" t="inlineStr">
        <is>
          <t>HALLANDS LÄN</t>
        </is>
      </c>
      <c r="G415" t="inlineStr">
        <is>
          <t>LAHOLM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46321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46321</v>
      </c>
      <c r="F417" t="inlineStr">
        <is>
          <t>HALLANDS LÄN</t>
        </is>
      </c>
      <c r="G417" t="inlineStr">
        <is>
          <t>LAHOLM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45152</v>
      </c>
      <c r="E418" s="1" t="n">
        <v>46321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46321</v>
      </c>
      <c r="F419" t="inlineStr">
        <is>
          <t>HALLANDS LÄN</t>
        </is>
      </c>
      <c r="G419" t="inlineStr">
        <is>
          <t>LAHOLM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46321</v>
      </c>
      <c r="F420" t="inlineStr">
        <is>
          <t>HALLANDS LÄN</t>
        </is>
      </c>
      <c r="G420" t="inlineStr">
        <is>
          <t>LAHOLM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45232</v>
      </c>
      <c r="E421" s="1" t="n">
        <v>46321</v>
      </c>
      <c r="F421" t="inlineStr">
        <is>
          <t>HALLANDS LÄN</t>
        </is>
      </c>
      <c r="G421" t="inlineStr">
        <is>
          <t>LAHOLM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46321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46321</v>
      </c>
      <c r="F423" t="inlineStr">
        <is>
          <t>HALLANDS LÄN</t>
        </is>
      </c>
      <c r="G423" t="inlineStr">
        <is>
          <t>LAHOLM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46321</v>
      </c>
      <c r="F424" t="inlineStr">
        <is>
          <t>HALLANDS LÄN</t>
        </is>
      </c>
      <c r="G424" t="inlineStr">
        <is>
          <t>LAHOLM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45174</v>
      </c>
      <c r="E425" s="1" t="n">
        <v>46321</v>
      </c>
      <c r="F425" t="inlineStr">
        <is>
          <t>HALLANDS LÄN</t>
        </is>
      </c>
      <c r="G425" t="inlineStr">
        <is>
          <t>LAHOLM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45670</v>
      </c>
      <c r="E426" s="1" t="n">
        <v>46321</v>
      </c>
      <c r="F426" t="inlineStr">
        <is>
          <t>HALLANDS LÄN</t>
        </is>
      </c>
      <c r="G426" t="inlineStr">
        <is>
          <t>LAHOLM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44753</v>
      </c>
      <c r="E427" s="1" t="n">
        <v>46321</v>
      </c>
      <c r="F427" t="inlineStr">
        <is>
          <t>HALLANDS LÄN</t>
        </is>
      </c>
      <c r="G427" t="inlineStr">
        <is>
          <t>LAHOLM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40810-2023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45171</v>
      </c>
      <c r="E428" s="1" t="n">
        <v>46321</v>
      </c>
      <c r="F428" t="inlineStr">
        <is>
          <t>HALLANDS LÄN</t>
        </is>
      </c>
      <c r="G428" t="inlineStr">
        <is>
          <t>LAHOLM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45195</v>
      </c>
      <c r="E429" s="1" t="n">
        <v>46321</v>
      </c>
      <c r="F429" t="inlineStr">
        <is>
          <t>HALLANDS LÄN</t>
        </is>
      </c>
      <c r="G429" t="inlineStr">
        <is>
          <t>LAHOLM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46321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46321</v>
      </c>
      <c r="F431" t="inlineStr">
        <is>
          <t>HALLANDS LÄN</t>
        </is>
      </c>
      <c r="G431" t="inlineStr">
        <is>
          <t>LAHOLM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37557-2023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45159</v>
      </c>
      <c r="E432" s="1" t="n">
        <v>46321</v>
      </c>
      <c r="F432" t="inlineStr">
        <is>
          <t>HALLANDS LÄN</t>
        </is>
      </c>
      <c r="G432" t="inlineStr">
        <is>
          <t>LAHOLM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46321</v>
      </c>
      <c r="F433" t="inlineStr">
        <is>
          <t>HALLANDS LÄN</t>
        </is>
      </c>
      <c r="G433" t="inlineStr">
        <is>
          <t>LAHOLM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45707</v>
      </c>
      <c r="E434" s="1" t="n">
        <v>46321</v>
      </c>
      <c r="F434" t="inlineStr">
        <is>
          <t>HALLANDS LÄN</t>
        </is>
      </c>
      <c r="G434" t="inlineStr">
        <is>
          <t>LAHOLM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46321</v>
      </c>
      <c r="F435" t="inlineStr">
        <is>
          <t>HALLANDS LÄN</t>
        </is>
      </c>
      <c r="G435" t="inlineStr">
        <is>
          <t>LAHOLM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45314</v>
      </c>
      <c r="E436" s="1" t="n">
        <v>46321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46321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46321</v>
      </c>
      <c r="F438" t="inlineStr">
        <is>
          <t>HALLANDS LÄN</t>
        </is>
      </c>
      <c r="G438" t="inlineStr">
        <is>
          <t>LAHOLM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46321</v>
      </c>
      <c r="F439" t="inlineStr">
        <is>
          <t>HALLANDS LÄN</t>
        </is>
      </c>
      <c r="G439" t="inlineStr">
        <is>
          <t>LAHOLM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46321</v>
      </c>
      <c r="F440" t="inlineStr">
        <is>
          <t>HALLANDS LÄN</t>
        </is>
      </c>
      <c r="G440" t="inlineStr">
        <is>
          <t>LAHOLM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45131</v>
      </c>
      <c r="E441" s="1" t="n">
        <v>46321</v>
      </c>
      <c r="F441" t="inlineStr">
        <is>
          <t>HALLANDS LÄN</t>
        </is>
      </c>
      <c r="G441" t="inlineStr">
        <is>
          <t>LAHOLM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62688-2023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45268</v>
      </c>
      <c r="E442" s="1" t="n">
        <v>46321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44764</v>
      </c>
      <c r="E443" s="1" t="n">
        <v>46321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46321</v>
      </c>
      <c r="F444" t="inlineStr">
        <is>
          <t>HALLANDS LÄN</t>
        </is>
      </c>
      <c r="G444" t="inlineStr">
        <is>
          <t>LAHOLM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46321</v>
      </c>
      <c r="F445" t="inlineStr">
        <is>
          <t>HALLANDS LÄN</t>
        </is>
      </c>
      <c r="G445" t="inlineStr">
        <is>
          <t>LAHOLM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45135</v>
      </c>
      <c r="E446" s="1" t="n">
        <v>46321</v>
      </c>
      <c r="F446" t="inlineStr">
        <is>
          <t>HALLANDS LÄN</t>
        </is>
      </c>
      <c r="G446" t="inlineStr">
        <is>
          <t>LAHOLM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46321</v>
      </c>
      <c r="F447" t="inlineStr">
        <is>
          <t>HALLANDS LÄN</t>
        </is>
      </c>
      <c r="G447" t="inlineStr">
        <is>
          <t>LAHOLM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45054</v>
      </c>
      <c r="E448" s="1" t="n">
        <v>46321</v>
      </c>
      <c r="F448" t="inlineStr">
        <is>
          <t>HALLANDS LÄN</t>
        </is>
      </c>
      <c r="G448" t="inlineStr">
        <is>
          <t>LAHOLM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54385-2022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46321</v>
      </c>
      <c r="F449" t="inlineStr">
        <is>
          <t>HALLANDS LÄN</t>
        </is>
      </c>
      <c r="G449" t="inlineStr">
        <is>
          <t>LAHOLM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46321</v>
      </c>
      <c r="F450" t="inlineStr">
        <is>
          <t>HALLANDS LÄN</t>
        </is>
      </c>
      <c r="G450" t="inlineStr">
        <is>
          <t>LAHOLM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45232</v>
      </c>
      <c r="E451" s="1" t="n">
        <v>46321</v>
      </c>
      <c r="F451" t="inlineStr">
        <is>
          <t>HALLANDS LÄN</t>
        </is>
      </c>
      <c r="G451" t="inlineStr">
        <is>
          <t>LAHOLM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46321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39465-2023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45166</v>
      </c>
      <c r="E453" s="1" t="n">
        <v>46321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46321</v>
      </c>
      <c r="F454" t="inlineStr">
        <is>
          <t>HALLANDS LÄN</t>
        </is>
      </c>
      <c r="G454" t="inlineStr">
        <is>
          <t>LAHOLM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44909</v>
      </c>
      <c r="E455" s="1" t="n">
        <v>46321</v>
      </c>
      <c r="F455" t="inlineStr">
        <is>
          <t>HALLANDS LÄN</t>
        </is>
      </c>
      <c r="G455" t="inlineStr">
        <is>
          <t>LAHOLM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46321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46321</v>
      </c>
      <c r="F457" t="inlineStr">
        <is>
          <t>HALLANDS LÄN</t>
        </is>
      </c>
      <c r="G457" t="inlineStr">
        <is>
          <t>LAHOLM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46321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46321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46321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46321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46321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46321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46321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46321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46321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46321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46321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46321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46321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46321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46321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46321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46321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2026-10-26T03:11:16Z</dcterms:created>
  <dcterms:modified xmlns:dcterms="http://purl.org/dc/terms/" xmlns:xsi="http://www.w3.org/2001/XMLSchema-instance" xsi:type="dcterms:W3CDTF">2026-10-26T03:11:16Z</dcterms:modified>
</cp:coreProperties>
</file>