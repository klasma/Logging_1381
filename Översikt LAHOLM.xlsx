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46226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46226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46226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46226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46226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46226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31507-2025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45832</v>
      </c>
      <c r="E15" s="1" t="n">
        <v>46226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Lopplummer (aggregat)</t>
        </is>
      </c>
      <c r="W15">
        <f>HYPERLINK("https://klasma.github.io/Logging_1381/artfynd/A 31507-2025 artfynd.xlsx", "A 31507-2025")</f>
        <v/>
      </c>
      <c r="X15">
        <f>HYPERLINK("https://klasma.github.io/Logging_1381/kartor/A 31507-2025 karta.png", "A 31507-2025")</f>
        <v/>
      </c>
      <c r="Y15">
        <f>HYPERLINK("https://klasma.github.io/Logging_1381/kartor_geotiff/A 31507-2025 georefererad karta.tif", "A 31507-2025")</f>
        <v/>
      </c>
      <c r="AA15">
        <f>HYPERLINK("https://klasma.github.io/Logging_1381/klagomål/A 31507-2025 FSC-klagomål.docx", "A 31507-2025")</f>
        <v/>
      </c>
      <c r="AB15">
        <f>HYPERLINK("https://klasma.github.io/Logging_1381/klagomålsmail/A 31507-2025 FSC-klagomål mail.docx", "A 31507-2025")</f>
        <v/>
      </c>
      <c r="AC15">
        <f>HYPERLINK("https://klasma.github.io/Logging_1381/tillsyn/A 31507-2025 tillsynsbegäran.docx", "A 31507-2025")</f>
        <v/>
      </c>
      <c r="AD15">
        <f>HYPERLINK("https://klasma.github.io/Logging_1381/tillsynsmail/A 31507-2025 tillsynsbegäran mail.docx", "A 31507-2025")</f>
        <v/>
      </c>
    </row>
    <row r="16" ht="15" customHeight="1">
      <c r="A16" t="inlineStr">
        <is>
          <t>A 19811-2026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46226</v>
      </c>
      <c r="F16" t="inlineStr">
        <is>
          <t>HALLANDS LÄN</t>
        </is>
      </c>
      <c r="G16" t="inlineStr">
        <is>
          <t>LAHOLM</t>
        </is>
      </c>
      <c r="I16" t="n">
        <v>3.6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Fällmossa
Guldlockmossa</t>
        </is>
      </c>
      <c r="W16">
        <f>HYPERLINK("https://klasma.github.io/Logging_1381/artfynd/A 19811-2026 artfynd.xlsx", "A 19811-2026")</f>
        <v/>
      </c>
      <c r="X16">
        <f>HYPERLINK("https://klasma.github.io/Logging_1381/kartor/A 19811-2026 karta.png", "A 19811-2026")</f>
        <v/>
      </c>
      <c r="Y16">
        <f>HYPERLINK("https://klasma.github.io/Logging_1381/kartor_geotiff/A 19811-2026 georefererad karta.tif", "A 19811-2026")</f>
        <v/>
      </c>
      <c r="AA16">
        <f>HYPERLINK("https://klasma.github.io/Logging_1381/klagomål/A 19811-2026 FSC-klagomål.docx", "A 19811-2026")</f>
        <v/>
      </c>
      <c r="AB16">
        <f>HYPERLINK("https://klasma.github.io/Logging_1381/klagomålsmail/A 19811-2026 FSC-klagomål mail.docx", "A 19811-2026")</f>
        <v/>
      </c>
      <c r="AC16">
        <f>HYPERLINK("https://klasma.github.io/Logging_1381/tillsyn/A 19811-2026 tillsynsbegäran.docx", "A 19811-2026")</f>
        <v/>
      </c>
      <c r="AD16">
        <f>HYPERLINK("https://klasma.github.io/Logging_1381/tillsynsmail/A 19811-2026 tillsynsbegäran mail.docx", "A 19811-2026")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46226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46226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46226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46226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17642-2026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46121</v>
      </c>
      <c r="E24" s="1" t="n">
        <v>46226</v>
      </c>
      <c r="F24" t="inlineStr">
        <is>
          <t>HALLANDS LÄN</t>
        </is>
      </c>
      <c r="G24" t="inlineStr">
        <is>
          <t>LAHOLM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17642-2026 artfynd.xlsx", "A 17642-2026")</f>
        <v/>
      </c>
      <c r="X24">
        <f>HYPERLINK("https://klasma.github.io/Logging_1381/kartor/A 17642-2026 karta.png", "A 17642-2026")</f>
        <v/>
      </c>
      <c r="Y24">
        <f>HYPERLINK("https://klasma.github.io/Logging_1381/kartor_geotiff/A 17642-2026 georefererad karta.tif", "A 17642-2026")</f>
        <v/>
      </c>
      <c r="AA24">
        <f>HYPERLINK("https://klasma.github.io/Logging_1381/klagomål/A 17642-2026 FSC-klagomål.docx", "A 17642-2026")</f>
        <v/>
      </c>
      <c r="AB24">
        <f>HYPERLINK("https://klasma.github.io/Logging_1381/klagomålsmail/A 17642-2026 FSC-klagomål mail.docx", "A 17642-2026")</f>
        <v/>
      </c>
      <c r="AC24">
        <f>HYPERLINK("https://klasma.github.io/Logging_1381/tillsyn/A 17642-2026 tillsynsbegäran.docx", "A 17642-2026")</f>
        <v/>
      </c>
      <c r="AD24">
        <f>HYPERLINK("https://klasma.github.io/Logging_1381/tillsynsmail/A 17642-2026 tillsynsbegäran mail.docx", "A 17642-2026")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46226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46226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46226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46226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46226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46226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46226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46226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46226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46226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5677-2022 artfynd.xlsx", "A 5677-2022")</f>
        <v/>
      </c>
      <c r="X34">
        <f>HYPERLINK("https://klasma.github.io/Logging_1381/kartor/A 5677-2022 karta.png", "A 5677-2022")</f>
        <v/>
      </c>
      <c r="Y34">
        <f>HYPERLINK("https://klasma.github.io/Logging_1381/kartor_geotiff/A 5677-2022 georefererad karta.tif", "A 5677-2022")</f>
        <v/>
      </c>
      <c r="AA34">
        <f>HYPERLINK("https://klasma.github.io/Logging_1381/klagomål/A 5677-2022 FSC-klagomål.docx", "A 5677-2022")</f>
        <v/>
      </c>
      <c r="AB34">
        <f>HYPERLINK("https://klasma.github.io/Logging_1381/klagomålsmail/A 5677-2022 FSC-klagomål mail.docx", "A 5677-2022")</f>
        <v/>
      </c>
      <c r="AC34">
        <f>HYPERLINK("https://klasma.github.io/Logging_1381/tillsyn/A 5677-2022 tillsynsbegäran.docx", "A 5677-2022")</f>
        <v/>
      </c>
      <c r="AD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46226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46226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46226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46226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46226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46226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46226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46226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46226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46226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46226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46226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46226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46226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46226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46226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46226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46226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46226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46226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46226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46226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46226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46226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46226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46226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46226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46226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46226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46226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46226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46226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46226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46226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46226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46226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46226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46226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46226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46226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46226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46226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46226</v>
      </c>
      <c r="F79" t="inlineStr">
        <is>
          <t>HALLANDS LÄN</t>
        </is>
      </c>
      <c r="G79" t="inlineStr">
        <is>
          <t>LAHOLM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46226</v>
      </c>
      <c r="F80" t="inlineStr">
        <is>
          <t>HALLANDS LÄN</t>
        </is>
      </c>
      <c r="G80" t="inlineStr">
        <is>
          <t>LAHOLM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46226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46226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46226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46226</v>
      </c>
      <c r="F84" t="inlineStr">
        <is>
          <t>HALLANDS LÄN</t>
        </is>
      </c>
      <c r="G84" t="inlineStr">
        <is>
          <t>LAHOLM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46226</v>
      </c>
      <c r="F85" t="inlineStr">
        <is>
          <t>HALLANDS LÄN</t>
        </is>
      </c>
      <c r="G85" t="inlineStr">
        <is>
          <t>LAHOLM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46226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46226</v>
      </c>
      <c r="F87" t="inlineStr">
        <is>
          <t>HALLANDS LÄN</t>
        </is>
      </c>
      <c r="G87" t="inlineStr">
        <is>
          <t>LAHOLM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46226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46226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46226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45337</v>
      </c>
      <c r="E91" s="1" t="n">
        <v>46226</v>
      </c>
      <c r="F91" t="inlineStr">
        <is>
          <t>HALLANDS LÄN</t>
        </is>
      </c>
      <c r="G91" t="inlineStr">
        <is>
          <t>LAHOLM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46226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46226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46226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46226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46226</v>
      </c>
      <c r="F96" t="inlineStr">
        <is>
          <t>HALLANDS LÄN</t>
        </is>
      </c>
      <c r="G96" t="inlineStr">
        <is>
          <t>LAHOLM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46226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46226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46226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46226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46226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46226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44404</v>
      </c>
      <c r="E103" s="1" t="n">
        <v>46226</v>
      </c>
      <c r="F103" t="inlineStr">
        <is>
          <t>HALLANDS LÄN</t>
        </is>
      </c>
      <c r="G103" t="inlineStr">
        <is>
          <t>LAHOLM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46226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46226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46226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46226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46226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46226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46226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46226</v>
      </c>
      <c r="F111" t="inlineStr">
        <is>
          <t>HALLANDS LÄN</t>
        </is>
      </c>
      <c r="G111" t="inlineStr">
        <is>
          <t>LAHOLM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46226</v>
      </c>
      <c r="F112" t="inlineStr">
        <is>
          <t>HALLANDS LÄN</t>
        </is>
      </c>
      <c r="G112" t="inlineStr">
        <is>
          <t>LAHOLM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46057</v>
      </c>
      <c r="E113" s="1" t="n">
        <v>46226</v>
      </c>
      <c r="F113" t="inlineStr">
        <is>
          <t>HALLANDS LÄN</t>
        </is>
      </c>
      <c r="G113" t="inlineStr">
        <is>
          <t>LAHOLM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46226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46226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46226</v>
      </c>
      <c r="F116" t="inlineStr">
        <is>
          <t>HALLANDS LÄN</t>
        </is>
      </c>
      <c r="G116" t="inlineStr">
        <is>
          <t>LAHOLM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46226</v>
      </c>
      <c r="F117" t="inlineStr">
        <is>
          <t>HALLANDS LÄN</t>
        </is>
      </c>
      <c r="G117" t="inlineStr">
        <is>
          <t>LAHOLM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46226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46226</v>
      </c>
      <c r="F119" t="inlineStr">
        <is>
          <t>HALLANDS LÄN</t>
        </is>
      </c>
      <c r="G119" t="inlineStr">
        <is>
          <t>LAHOLM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45171</v>
      </c>
      <c r="E120" s="1" t="n">
        <v>46226</v>
      </c>
      <c r="F120" t="inlineStr">
        <is>
          <t>HALLANDS LÄN</t>
        </is>
      </c>
      <c r="G120" t="inlineStr">
        <is>
          <t>LAHOLM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46226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46226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45693</v>
      </c>
      <c r="E123" s="1" t="n">
        <v>46226</v>
      </c>
      <c r="F123" t="inlineStr">
        <is>
          <t>HALLANDS LÄN</t>
        </is>
      </c>
      <c r="G123" t="inlineStr">
        <is>
          <t>LAHOLM</t>
        </is>
      </c>
      <c r="H123" t="inlineStr">
        <is>
          <t>Naturvårdsverket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46226</v>
      </c>
      <c r="F124" t="inlineStr">
        <is>
          <t>HALLANDS LÄN</t>
        </is>
      </c>
      <c r="G124" t="inlineStr">
        <is>
          <t>LAHOLM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44810</v>
      </c>
      <c r="E125" s="1" t="n">
        <v>46226</v>
      </c>
      <c r="F125" t="inlineStr">
        <is>
          <t>HALLANDS LÄN</t>
        </is>
      </c>
      <c r="G125" t="inlineStr">
        <is>
          <t>LAHOLM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46226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46226</v>
      </c>
      <c r="F127" t="inlineStr">
        <is>
          <t>HALLANDS LÄN</t>
        </is>
      </c>
      <c r="G127" t="inlineStr">
        <is>
          <t>LAHOLM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46226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46226</v>
      </c>
      <c r="F129" t="inlineStr">
        <is>
          <t>HALLANDS LÄN</t>
        </is>
      </c>
      <c r="G129" t="inlineStr">
        <is>
          <t>LAHOLM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46226</v>
      </c>
      <c r="F130" t="inlineStr">
        <is>
          <t>HALLANDS LÄN</t>
        </is>
      </c>
      <c r="G130" t="inlineStr">
        <is>
          <t>LAHOLM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46226</v>
      </c>
      <c r="F131" t="inlineStr">
        <is>
          <t>HALLANDS LÄN</t>
        </is>
      </c>
      <c r="G131" t="inlineStr">
        <is>
          <t>LAHOLM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46226</v>
      </c>
      <c r="F132" t="inlineStr">
        <is>
          <t>HALLANDS LÄN</t>
        </is>
      </c>
      <c r="G132" t="inlineStr">
        <is>
          <t>LAHOLM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46226</v>
      </c>
      <c r="F133" t="inlineStr">
        <is>
          <t>HALLANDS LÄN</t>
        </is>
      </c>
      <c r="G133" t="inlineStr">
        <is>
          <t>LAHOLM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46226</v>
      </c>
      <c r="F134" t="inlineStr">
        <is>
          <t>HALLANDS LÄN</t>
        </is>
      </c>
      <c r="G134" t="inlineStr">
        <is>
          <t>LAHOLM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46226</v>
      </c>
      <c r="F135" t="inlineStr">
        <is>
          <t>HALLANDS LÄN</t>
        </is>
      </c>
      <c r="G135" t="inlineStr">
        <is>
          <t>LAHOLM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46226</v>
      </c>
      <c r="F136" t="inlineStr">
        <is>
          <t>HALLANDS LÄN</t>
        </is>
      </c>
      <c r="G136" t="inlineStr">
        <is>
          <t>LAHOLM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46226</v>
      </c>
      <c r="F137" t="inlineStr">
        <is>
          <t>HALLANDS LÄN</t>
        </is>
      </c>
      <c r="G137" t="inlineStr">
        <is>
          <t>LAHOLM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46226</v>
      </c>
      <c r="F138" t="inlineStr">
        <is>
          <t>HALLANDS LÄN</t>
        </is>
      </c>
      <c r="G138" t="inlineStr">
        <is>
          <t>LAHOLM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46226</v>
      </c>
      <c r="F139" t="inlineStr">
        <is>
          <t>HALLANDS LÄN</t>
        </is>
      </c>
      <c r="G139" t="inlineStr">
        <is>
          <t>LAHOLM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46226</v>
      </c>
      <c r="F140" t="inlineStr">
        <is>
          <t>HALLANDS LÄN</t>
        </is>
      </c>
      <c r="G140" t="inlineStr">
        <is>
          <t>LAHOLM</t>
        </is>
      </c>
      <c r="H140" t="inlineStr">
        <is>
          <t>Sveaskog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46226</v>
      </c>
      <c r="F141" t="inlineStr">
        <is>
          <t>HALLANDS LÄN</t>
        </is>
      </c>
      <c r="G141" t="inlineStr">
        <is>
          <t>LAHOLM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46226</v>
      </c>
      <c r="F142" t="inlineStr">
        <is>
          <t>HALLANDS LÄN</t>
        </is>
      </c>
      <c r="G142" t="inlineStr">
        <is>
          <t>LAHOLM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46226</v>
      </c>
      <c r="F143" t="inlineStr">
        <is>
          <t>HALLANDS LÄN</t>
        </is>
      </c>
      <c r="G143" t="inlineStr">
        <is>
          <t>LAHOLM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46226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58361-2022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46226</v>
      </c>
      <c r="F145" t="inlineStr">
        <is>
          <t>HALLANDS LÄN</t>
        </is>
      </c>
      <c r="G145" t="inlineStr">
        <is>
          <t>LAHOLM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46226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46226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46226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46226</v>
      </c>
      <c r="F149" t="inlineStr">
        <is>
          <t>HALLANDS LÄN</t>
        </is>
      </c>
      <c r="G149" t="inlineStr">
        <is>
          <t>LAHOLM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44929</v>
      </c>
      <c r="E150" s="1" t="n">
        <v>46226</v>
      </c>
      <c r="F150" t="inlineStr">
        <is>
          <t>HALLANDS LÄN</t>
        </is>
      </c>
      <c r="G150" t="inlineStr">
        <is>
          <t>LAHOLM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46226</v>
      </c>
      <c r="F151" t="inlineStr">
        <is>
          <t>HALLANDS LÄN</t>
        </is>
      </c>
      <c r="G151" t="inlineStr">
        <is>
          <t>LAHOLM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46226</v>
      </c>
      <c r="F152" t="inlineStr">
        <is>
          <t>HALLANDS LÄN</t>
        </is>
      </c>
      <c r="G152" t="inlineStr">
        <is>
          <t>LAHOLM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46226</v>
      </c>
      <c r="F153" t="inlineStr">
        <is>
          <t>HALLANDS LÄN</t>
        </is>
      </c>
      <c r="G153" t="inlineStr">
        <is>
          <t>LAHOLM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44931-2025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46226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13998-2026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46098</v>
      </c>
      <c r="E155" s="1" t="n">
        <v>46226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46226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46226</v>
      </c>
      <c r="F157" t="inlineStr">
        <is>
          <t>HALLANDS LÄN</t>
        </is>
      </c>
      <c r="G157" t="inlineStr">
        <is>
          <t>LAHOLM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46226</v>
      </c>
      <c r="F158" t="inlineStr">
        <is>
          <t>HALLANDS LÄN</t>
        </is>
      </c>
      <c r="G158" t="inlineStr">
        <is>
          <t>LAHOLM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46226</v>
      </c>
      <c r="F159" t="inlineStr">
        <is>
          <t>HALLANDS LÄN</t>
        </is>
      </c>
      <c r="G159" t="inlineStr">
        <is>
          <t>LAHOLM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46226</v>
      </c>
      <c r="F160" t="inlineStr">
        <is>
          <t>HALLANDS LÄN</t>
        </is>
      </c>
      <c r="G160" t="inlineStr">
        <is>
          <t>LAHOLM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46226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46226</v>
      </c>
      <c r="F162" t="inlineStr">
        <is>
          <t>HALLANDS LÄN</t>
        </is>
      </c>
      <c r="G162" t="inlineStr">
        <is>
          <t>LAHOLM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46226</v>
      </c>
      <c r="F163" t="inlineStr">
        <is>
          <t>HALLANDS LÄN</t>
        </is>
      </c>
      <c r="G163" t="inlineStr">
        <is>
          <t>LAHOLM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46226</v>
      </c>
      <c r="F164" t="inlineStr">
        <is>
          <t>HALLANDS LÄN</t>
        </is>
      </c>
      <c r="G164" t="inlineStr">
        <is>
          <t>LAHOLM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46226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46226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46226</v>
      </c>
      <c r="F167" t="inlineStr">
        <is>
          <t>HALLANDS LÄN</t>
        </is>
      </c>
      <c r="G167" t="inlineStr">
        <is>
          <t>LAHOLM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46226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46226</v>
      </c>
      <c r="F169" t="inlineStr">
        <is>
          <t>HALLANDS LÄN</t>
        </is>
      </c>
      <c r="G169" t="inlineStr">
        <is>
          <t>LAHOLM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46226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46226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46226</v>
      </c>
      <c r="F172" t="inlineStr">
        <is>
          <t>HALLANDS LÄN</t>
        </is>
      </c>
      <c r="G172" t="inlineStr">
        <is>
          <t>LAHOLM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46226</v>
      </c>
      <c r="F173" t="inlineStr">
        <is>
          <t>HALLANDS LÄN</t>
        </is>
      </c>
      <c r="G173" t="inlineStr">
        <is>
          <t>LAHOLM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44943</v>
      </c>
      <c r="E174" s="1" t="n">
        <v>46226</v>
      </c>
      <c r="F174" t="inlineStr">
        <is>
          <t>HALLANDS LÄN</t>
        </is>
      </c>
      <c r="G174" t="inlineStr">
        <is>
          <t>LAHOLM</t>
        </is>
      </c>
      <c r="H174" t="inlineStr">
        <is>
          <t>Kommuner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46226</v>
      </c>
      <c r="F175" t="inlineStr">
        <is>
          <t>HALLANDS LÄN</t>
        </is>
      </c>
      <c r="G175" t="inlineStr">
        <is>
          <t>LAHOLM</t>
        </is>
      </c>
      <c r="H175" t="inlineStr">
        <is>
          <t>Sveaskog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46226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46226</v>
      </c>
      <c r="F177" t="inlineStr">
        <is>
          <t>HALLANDS LÄN</t>
        </is>
      </c>
      <c r="G177" t="inlineStr">
        <is>
          <t>LAHOLM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46135</v>
      </c>
      <c r="E178" s="1" t="n">
        <v>46226</v>
      </c>
      <c r="F178" t="inlineStr">
        <is>
          <t>HALLANDS LÄN</t>
        </is>
      </c>
      <c r="G178" t="inlineStr">
        <is>
          <t>LAHOLM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46226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46134</v>
      </c>
      <c r="E180" s="1" t="n">
        <v>46226</v>
      </c>
      <c r="F180" t="inlineStr">
        <is>
          <t>HALLANDS LÄN</t>
        </is>
      </c>
      <c r="G180" t="inlineStr">
        <is>
          <t>LAHOLM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45843</v>
      </c>
      <c r="E181" s="1" t="n">
        <v>46226</v>
      </c>
      <c r="F181" t="inlineStr">
        <is>
          <t>HALLANDS LÄN</t>
        </is>
      </c>
      <c r="G181" t="inlineStr">
        <is>
          <t>LAHOLM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46226</v>
      </c>
      <c r="F182" t="inlineStr">
        <is>
          <t>HALLANDS LÄN</t>
        </is>
      </c>
      <c r="G182" t="inlineStr">
        <is>
          <t>LAHOLM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46226</v>
      </c>
      <c r="F183" t="inlineStr">
        <is>
          <t>HALLANDS LÄN</t>
        </is>
      </c>
      <c r="G183" t="inlineStr">
        <is>
          <t>LAHOLM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46226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46226</v>
      </c>
      <c r="F185" t="inlineStr">
        <is>
          <t>HALLANDS LÄN</t>
        </is>
      </c>
      <c r="G185" t="inlineStr">
        <is>
          <t>LAHOLM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45845</v>
      </c>
      <c r="E186" s="1" t="n">
        <v>46226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46226</v>
      </c>
      <c r="F187" t="inlineStr">
        <is>
          <t>HALLANDS LÄN</t>
        </is>
      </c>
      <c r="G187" t="inlineStr">
        <is>
          <t>LAHOLM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46226</v>
      </c>
      <c r="F188" t="inlineStr">
        <is>
          <t>HALLANDS LÄN</t>
        </is>
      </c>
      <c r="G188" t="inlineStr">
        <is>
          <t>LAHOLM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46226</v>
      </c>
      <c r="F189" t="inlineStr">
        <is>
          <t>HALLANDS LÄN</t>
        </is>
      </c>
      <c r="G189" t="inlineStr">
        <is>
          <t>LAHOLM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45027</v>
      </c>
      <c r="E190" s="1" t="n">
        <v>46226</v>
      </c>
      <c r="F190" t="inlineStr">
        <is>
          <t>HALLANDS LÄN</t>
        </is>
      </c>
      <c r="G190" t="inlineStr">
        <is>
          <t>LAHOLM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46226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45849</v>
      </c>
      <c r="E192" s="1" t="n">
        <v>46226</v>
      </c>
      <c r="F192" t="inlineStr">
        <is>
          <t>HALLANDS LÄN</t>
        </is>
      </c>
      <c r="G192" t="inlineStr">
        <is>
          <t>LAHOLM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45849</v>
      </c>
      <c r="E193" s="1" t="n">
        <v>46226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46226</v>
      </c>
      <c r="F194" t="inlineStr">
        <is>
          <t>HALLANDS LÄN</t>
        </is>
      </c>
      <c r="G194" t="inlineStr">
        <is>
          <t>LAHOLM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45849</v>
      </c>
      <c r="E195" s="1" t="n">
        <v>46226</v>
      </c>
      <c r="F195" t="inlineStr">
        <is>
          <t>HALLANDS LÄN</t>
        </is>
      </c>
      <c r="G195" t="inlineStr">
        <is>
          <t>LAHOLM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46226</v>
      </c>
      <c r="F196" t="inlineStr">
        <is>
          <t>HALLANDS LÄN</t>
        </is>
      </c>
      <c r="G196" t="inlineStr">
        <is>
          <t>LAHOLM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46226</v>
      </c>
      <c r="F197" t="inlineStr">
        <is>
          <t>HALLANDS LÄN</t>
        </is>
      </c>
      <c r="G197" t="inlineStr">
        <is>
          <t>LAHOLM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46226</v>
      </c>
      <c r="F198" t="inlineStr">
        <is>
          <t>HALLANDS LÄN</t>
        </is>
      </c>
      <c r="G198" t="inlineStr">
        <is>
          <t>LAHOLM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46226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46226</v>
      </c>
      <c r="F200" t="inlineStr">
        <is>
          <t>HALLANDS LÄN</t>
        </is>
      </c>
      <c r="G200" t="inlineStr">
        <is>
          <t>LAHOLM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46226</v>
      </c>
      <c r="F201" t="inlineStr">
        <is>
          <t>HALLANDS LÄN</t>
        </is>
      </c>
      <c r="G201" t="inlineStr">
        <is>
          <t>LAHOLM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46226</v>
      </c>
      <c r="F202" t="inlineStr">
        <is>
          <t>HALLANDS LÄN</t>
        </is>
      </c>
      <c r="G202" t="inlineStr">
        <is>
          <t>LAHOLM</t>
        </is>
      </c>
      <c r="H202" t="inlineStr">
        <is>
          <t>Övriga statliga verk och myndigheter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46226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46226</v>
      </c>
      <c r="F204" t="inlineStr">
        <is>
          <t>HALLANDS LÄN</t>
        </is>
      </c>
      <c r="G204" t="inlineStr">
        <is>
          <t>LAHOLM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46226</v>
      </c>
      <c r="F205" t="inlineStr">
        <is>
          <t>HALLANDS LÄN</t>
        </is>
      </c>
      <c r="G205" t="inlineStr">
        <is>
          <t>LAHOLM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45700</v>
      </c>
      <c r="E206" s="1" t="n">
        <v>46226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46226</v>
      </c>
      <c r="F207" t="inlineStr">
        <is>
          <t>HALLANDS LÄN</t>
        </is>
      </c>
      <c r="G207" t="inlineStr">
        <is>
          <t>LAHOLM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25478-2025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45802</v>
      </c>
      <c r="E208" s="1" t="n">
        <v>46226</v>
      </c>
      <c r="F208" t="inlineStr">
        <is>
          <t>HALLANDS LÄN</t>
        </is>
      </c>
      <c r="G208" t="inlineStr">
        <is>
          <t>LAHOLM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44883</v>
      </c>
      <c r="E209" s="1" t="n">
        <v>46226</v>
      </c>
      <c r="F209" t="inlineStr">
        <is>
          <t>HALLANDS LÄN</t>
        </is>
      </c>
      <c r="G209" t="inlineStr">
        <is>
          <t>LAHOLM</t>
        </is>
      </c>
      <c r="H209" t="inlineStr">
        <is>
          <t>Kommuner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45206</v>
      </c>
      <c r="E210" s="1" t="n">
        <v>46226</v>
      </c>
      <c r="F210" t="inlineStr">
        <is>
          <t>HALLANDS LÄN</t>
        </is>
      </c>
      <c r="G210" t="inlineStr">
        <is>
          <t>LAHOLM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46226</v>
      </c>
      <c r="F211" t="inlineStr">
        <is>
          <t>HALLANDS LÄN</t>
        </is>
      </c>
      <c r="G211" t="inlineStr">
        <is>
          <t>LAHOLM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45385</v>
      </c>
      <c r="E212" s="1" t="n">
        <v>46226</v>
      </c>
      <c r="F212" t="inlineStr">
        <is>
          <t>HALLANDS LÄN</t>
        </is>
      </c>
      <c r="G212" t="inlineStr">
        <is>
          <t>LAHOLM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45195</v>
      </c>
      <c r="E213" s="1" t="n">
        <v>46226</v>
      </c>
      <c r="F213" t="inlineStr">
        <is>
          <t>HALLANDS LÄN</t>
        </is>
      </c>
      <c r="G213" t="inlineStr">
        <is>
          <t>LAHOLM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45322</v>
      </c>
      <c r="E214" s="1" t="n">
        <v>46226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46226</v>
      </c>
      <c r="F215" t="inlineStr">
        <is>
          <t>HALLANDS LÄN</t>
        </is>
      </c>
      <c r="G215" t="inlineStr">
        <is>
          <t>LAHOLM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46226</v>
      </c>
      <c r="F216" t="inlineStr">
        <is>
          <t>HALLANDS LÄN</t>
        </is>
      </c>
      <c r="G216" t="inlineStr">
        <is>
          <t>LAHOLM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46226</v>
      </c>
      <c r="F217" t="inlineStr">
        <is>
          <t>HALLANDS LÄN</t>
        </is>
      </c>
      <c r="G217" t="inlineStr">
        <is>
          <t>LAHOLM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45555</v>
      </c>
      <c r="E218" s="1" t="n">
        <v>46226</v>
      </c>
      <c r="F218" t="inlineStr">
        <is>
          <t>HALLANDS LÄN</t>
        </is>
      </c>
      <c r="G218" t="inlineStr">
        <is>
          <t>LAHOLM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46226</v>
      </c>
      <c r="F219" t="inlineStr">
        <is>
          <t>HALLANDS LÄN</t>
        </is>
      </c>
      <c r="G219" t="inlineStr">
        <is>
          <t>LAHOLM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46226</v>
      </c>
      <c r="F220" t="inlineStr">
        <is>
          <t>HALLANDS LÄN</t>
        </is>
      </c>
      <c r="G220" t="inlineStr">
        <is>
          <t>LAHOLM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46226</v>
      </c>
      <c r="F221" t="inlineStr">
        <is>
          <t>HALLANDS LÄN</t>
        </is>
      </c>
      <c r="G221" t="inlineStr">
        <is>
          <t>LAHOLM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46226</v>
      </c>
      <c r="F222" t="inlineStr">
        <is>
          <t>HALLANDS LÄN</t>
        </is>
      </c>
      <c r="G222" t="inlineStr">
        <is>
          <t>LAHOLM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46226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46226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45730</v>
      </c>
      <c r="E225" s="1" t="n">
        <v>46226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46226</v>
      </c>
      <c r="F226" t="inlineStr">
        <is>
          <t>HALLANDS LÄN</t>
        </is>
      </c>
      <c r="G226" t="inlineStr">
        <is>
          <t>LAHOLM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45168</v>
      </c>
      <c r="E227" s="1" t="n">
        <v>46226</v>
      </c>
      <c r="F227" t="inlineStr">
        <is>
          <t>HALLANDS LÄN</t>
        </is>
      </c>
      <c r="G227" t="inlineStr">
        <is>
          <t>LAHOLM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45275</v>
      </c>
      <c r="E228" s="1" t="n">
        <v>46226</v>
      </c>
      <c r="F228" t="inlineStr">
        <is>
          <t>HALLANDS LÄN</t>
        </is>
      </c>
      <c r="G228" t="inlineStr">
        <is>
          <t>LAHOLM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45170</v>
      </c>
      <c r="E229" s="1" t="n">
        <v>46226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45089</v>
      </c>
      <c r="E230" s="1" t="n">
        <v>46226</v>
      </c>
      <c r="F230" t="inlineStr">
        <is>
          <t>HALLANDS LÄN</t>
        </is>
      </c>
      <c r="G230" t="inlineStr">
        <is>
          <t>LAHOLM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46226</v>
      </c>
      <c r="F231" t="inlineStr">
        <is>
          <t>HALLANDS LÄN</t>
        </is>
      </c>
      <c r="G231" t="inlineStr">
        <is>
          <t>LAHOLM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46226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46226</v>
      </c>
      <c r="F233" t="inlineStr">
        <is>
          <t>HALLANDS LÄN</t>
        </is>
      </c>
      <c r="G233" t="inlineStr">
        <is>
          <t>LAHOLM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46226</v>
      </c>
      <c r="F234" t="inlineStr">
        <is>
          <t>HALLANDS LÄN</t>
        </is>
      </c>
      <c r="G234" t="inlineStr">
        <is>
          <t>LAHOLM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44902</v>
      </c>
      <c r="E235" s="1" t="n">
        <v>46226</v>
      </c>
      <c r="F235" t="inlineStr">
        <is>
          <t>HALLANDS LÄN</t>
        </is>
      </c>
      <c r="G235" t="inlineStr">
        <is>
          <t>LAHOLM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46226</v>
      </c>
      <c r="F236" t="inlineStr">
        <is>
          <t>HALLANDS LÄN</t>
        </is>
      </c>
      <c r="G236" t="inlineStr">
        <is>
          <t>LAHOLM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46317-2021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44442</v>
      </c>
      <c r="E237" s="1" t="n">
        <v>46226</v>
      </c>
      <c r="F237" t="inlineStr">
        <is>
          <t>HALLANDS LÄN</t>
        </is>
      </c>
      <c r="G237" t="inlineStr">
        <is>
          <t>LAHOLM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46226</v>
      </c>
      <c r="F238" t="inlineStr">
        <is>
          <t>HALLANDS LÄN</t>
        </is>
      </c>
      <c r="G238" t="inlineStr">
        <is>
          <t>LAHOLM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46226</v>
      </c>
      <c r="F239" t="inlineStr">
        <is>
          <t>HALLANDS LÄN</t>
        </is>
      </c>
      <c r="G239" t="inlineStr">
        <is>
          <t>LAHOLM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44645</v>
      </c>
      <c r="E240" s="1" t="n">
        <v>46226</v>
      </c>
      <c r="F240" t="inlineStr">
        <is>
          <t>HALLANDS LÄN</t>
        </is>
      </c>
      <c r="G240" t="inlineStr">
        <is>
          <t>LAHOLM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45751</v>
      </c>
      <c r="E241" s="1" t="n">
        <v>46226</v>
      </c>
      <c r="F241" t="inlineStr">
        <is>
          <t>HALLANDS LÄN</t>
        </is>
      </c>
      <c r="G241" t="inlineStr">
        <is>
          <t>LAHOLM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46226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57320-2021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44483</v>
      </c>
      <c r="E243" s="1" t="n">
        <v>46226</v>
      </c>
      <c r="F243" t="inlineStr">
        <is>
          <t>HALLANDS LÄN</t>
        </is>
      </c>
      <c r="G243" t="inlineStr">
        <is>
          <t>LAHOLM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73894-2021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44553</v>
      </c>
      <c r="E244" s="1" t="n">
        <v>46226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44880</v>
      </c>
      <c r="E245" s="1" t="n">
        <v>46226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46226</v>
      </c>
      <c r="F246" t="inlineStr">
        <is>
          <t>HALLANDS LÄN</t>
        </is>
      </c>
      <c r="G246" t="inlineStr">
        <is>
          <t>LAHOLM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45035</v>
      </c>
      <c r="E247" s="1" t="n">
        <v>46226</v>
      </c>
      <c r="F247" t="inlineStr">
        <is>
          <t>HALLANDS LÄN</t>
        </is>
      </c>
      <c r="G247" t="inlineStr">
        <is>
          <t>LAHOLM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45104</v>
      </c>
      <c r="E248" s="1" t="n">
        <v>46226</v>
      </c>
      <c r="F248" t="inlineStr">
        <is>
          <t>HALLANDS LÄN</t>
        </is>
      </c>
      <c r="G248" t="inlineStr">
        <is>
          <t>LAHOLM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46226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46226</v>
      </c>
      <c r="F250" t="inlineStr">
        <is>
          <t>HALLANDS LÄN</t>
        </is>
      </c>
      <c r="G250" t="inlineStr">
        <is>
          <t>LAHOLM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46226</v>
      </c>
      <c r="F251" t="inlineStr">
        <is>
          <t>HALLANDS LÄN</t>
        </is>
      </c>
      <c r="G251" t="inlineStr">
        <is>
          <t>LAHOLM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45450</v>
      </c>
      <c r="E252" s="1" t="n">
        <v>46226</v>
      </c>
      <c r="F252" t="inlineStr">
        <is>
          <t>HALLANDS LÄN</t>
        </is>
      </c>
      <c r="G252" t="inlineStr">
        <is>
          <t>LAHOLM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45275</v>
      </c>
      <c r="E253" s="1" t="n">
        <v>46226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65916-2021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44517</v>
      </c>
      <c r="E254" s="1" t="n">
        <v>46226</v>
      </c>
      <c r="F254" t="inlineStr">
        <is>
          <t>HALLANDS LÄN</t>
        </is>
      </c>
      <c r="G254" t="inlineStr">
        <is>
          <t>LAHOLM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37319-2023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46226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46226</v>
      </c>
      <c r="F256" t="inlineStr">
        <is>
          <t>HALLANDS LÄN</t>
        </is>
      </c>
      <c r="G256" t="inlineStr">
        <is>
          <t>LAHOLM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28789-2023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46226</v>
      </c>
      <c r="F257" t="inlineStr">
        <is>
          <t>HALLANDS LÄN</t>
        </is>
      </c>
      <c r="G257" t="inlineStr">
        <is>
          <t>LAHOLM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45426</v>
      </c>
      <c r="E258" s="1" t="n">
        <v>46226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46226</v>
      </c>
      <c r="F259" t="inlineStr">
        <is>
          <t>HALLANDS LÄN</t>
        </is>
      </c>
      <c r="G259" t="inlineStr">
        <is>
          <t>LAHOLM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46226</v>
      </c>
      <c r="F260" t="inlineStr">
        <is>
          <t>HALLANDS LÄN</t>
        </is>
      </c>
      <c r="G260" t="inlineStr">
        <is>
          <t>LAHOLM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45363</v>
      </c>
      <c r="E261" s="1" t="n">
        <v>46226</v>
      </c>
      <c r="F261" t="inlineStr">
        <is>
          <t>HALLANDS LÄN</t>
        </is>
      </c>
      <c r="G261" t="inlineStr">
        <is>
          <t>LAHOLM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46226</v>
      </c>
      <c r="F262" t="inlineStr">
        <is>
          <t>HALLANDS LÄN</t>
        </is>
      </c>
      <c r="G262" t="inlineStr">
        <is>
          <t>LAHOLM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46226</v>
      </c>
      <c r="F263" t="inlineStr">
        <is>
          <t>HALLANDS LÄN</t>
        </is>
      </c>
      <c r="G263" t="inlineStr">
        <is>
          <t>LAHOLM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45070</v>
      </c>
      <c r="E264" s="1" t="n">
        <v>46226</v>
      </c>
      <c r="F264" t="inlineStr">
        <is>
          <t>HALLANDS LÄN</t>
        </is>
      </c>
      <c r="G264" t="inlineStr">
        <is>
          <t>LAHOLM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46226</v>
      </c>
      <c r="F265" t="inlineStr">
        <is>
          <t>HALLANDS LÄN</t>
        </is>
      </c>
      <c r="G265" t="inlineStr">
        <is>
          <t>LAHOLM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45519</v>
      </c>
      <c r="E266" s="1" t="n">
        <v>46226</v>
      </c>
      <c r="F266" t="inlineStr">
        <is>
          <t>HALLANDS LÄN</t>
        </is>
      </c>
      <c r="G266" t="inlineStr">
        <is>
          <t>LAHOLM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46226</v>
      </c>
      <c r="F267" t="inlineStr">
        <is>
          <t>HALLANDS LÄN</t>
        </is>
      </c>
      <c r="G267" t="inlineStr">
        <is>
          <t>LAHOLM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45098</v>
      </c>
      <c r="E268" s="1" t="n">
        <v>46226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46226</v>
      </c>
      <c r="F269" t="inlineStr">
        <is>
          <t>HALLANDS LÄN</t>
        </is>
      </c>
      <c r="G269" t="inlineStr">
        <is>
          <t>LAHOLM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46226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46226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44501</v>
      </c>
      <c r="E272" s="1" t="n">
        <v>46226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46226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27223-2026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46184</v>
      </c>
      <c r="E274" s="1" t="n">
        <v>46226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46226</v>
      </c>
      <c r="F275" t="inlineStr">
        <is>
          <t>HALLANDS LÄN</t>
        </is>
      </c>
      <c r="G275" t="inlineStr">
        <is>
          <t>LAHOLM</t>
        </is>
      </c>
      <c r="H275" t="inlineStr">
        <is>
          <t>Sveaskog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46226</v>
      </c>
      <c r="F276" t="inlineStr">
        <is>
          <t>HALLANDS LÄN</t>
        </is>
      </c>
      <c r="G276" t="inlineStr">
        <is>
          <t>LAHOLM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46226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46226</v>
      </c>
      <c r="F278" t="inlineStr">
        <is>
          <t>HALLANDS LÄN</t>
        </is>
      </c>
      <c r="G278" t="inlineStr">
        <is>
          <t>LAHOLM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46226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46226</v>
      </c>
      <c r="F280" t="inlineStr">
        <is>
          <t>HALLANDS LÄN</t>
        </is>
      </c>
      <c r="G280" t="inlineStr">
        <is>
          <t>LAHOLM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53127-2021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46226</v>
      </c>
      <c r="F281" t="inlineStr">
        <is>
          <t>HALLANDS LÄN</t>
        </is>
      </c>
      <c r="G281" t="inlineStr">
        <is>
          <t>LAHOLM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45327</v>
      </c>
      <c r="E282" s="1" t="n">
        <v>46226</v>
      </c>
      <c r="F282" t="inlineStr">
        <is>
          <t>HALLANDS LÄN</t>
        </is>
      </c>
      <c r="G282" t="inlineStr">
        <is>
          <t>LAHOLM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46226</v>
      </c>
      <c r="F283" t="inlineStr">
        <is>
          <t>HALLANDS LÄN</t>
        </is>
      </c>
      <c r="G283" t="inlineStr">
        <is>
          <t>LAHOLM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46226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46151</v>
      </c>
      <c r="E285" s="1" t="n">
        <v>46226</v>
      </c>
      <c r="F285" t="inlineStr">
        <is>
          <t>HALLANDS LÄN</t>
        </is>
      </c>
      <c r="G285" t="inlineStr">
        <is>
          <t>LAHOLM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45625</v>
      </c>
      <c r="E286" s="1" t="n">
        <v>46226</v>
      </c>
      <c r="F286" t="inlineStr">
        <is>
          <t>HALLANDS LÄN</t>
        </is>
      </c>
      <c r="G286" t="inlineStr">
        <is>
          <t>LAHOLM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39465-2023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45166</v>
      </c>
      <c r="E287" s="1" t="n">
        <v>46226</v>
      </c>
      <c r="F287" t="inlineStr">
        <is>
          <t>HALLANDS LÄN</t>
        </is>
      </c>
      <c r="G287" t="inlineStr">
        <is>
          <t>LAHOLM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3022-2026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46038</v>
      </c>
      <c r="E288" s="1" t="n">
        <v>46226</v>
      </c>
      <c r="F288" t="inlineStr">
        <is>
          <t>HALLANDS LÄN</t>
        </is>
      </c>
      <c r="G288" t="inlineStr">
        <is>
          <t>LAHOLM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46226</v>
      </c>
      <c r="F289" t="inlineStr">
        <is>
          <t>HALLANDS LÄN</t>
        </is>
      </c>
      <c r="G289" t="inlineStr">
        <is>
          <t>LAHOLM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45658</v>
      </c>
      <c r="E290" s="1" t="n">
        <v>46226</v>
      </c>
      <c r="F290" t="inlineStr">
        <is>
          <t>HALLANDS LÄN</t>
        </is>
      </c>
      <c r="G290" t="inlineStr">
        <is>
          <t>LAHOLM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46226</v>
      </c>
      <c r="F291" t="inlineStr">
        <is>
          <t>HALLANDS LÄN</t>
        </is>
      </c>
      <c r="G291" t="inlineStr">
        <is>
          <t>LAHOLM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46226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46226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46226</v>
      </c>
      <c r="F294" t="inlineStr">
        <is>
          <t>HALLANDS LÄN</t>
        </is>
      </c>
      <c r="G294" t="inlineStr">
        <is>
          <t>LAHOLM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46226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46226</v>
      </c>
      <c r="F296" t="inlineStr">
        <is>
          <t>HALLANDS LÄN</t>
        </is>
      </c>
      <c r="G296" t="inlineStr">
        <is>
          <t>LAHOLM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46226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45020</v>
      </c>
      <c r="E298" s="1" t="n">
        <v>46226</v>
      </c>
      <c r="F298" t="inlineStr">
        <is>
          <t>HALLANDS LÄN</t>
        </is>
      </c>
      <c r="G298" t="inlineStr">
        <is>
          <t>LAHOLM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46052</v>
      </c>
      <c r="E299" s="1" t="n">
        <v>46226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46226</v>
      </c>
      <c r="F300" t="inlineStr">
        <is>
          <t>HALLANDS LÄN</t>
        </is>
      </c>
      <c r="G300" t="inlineStr">
        <is>
          <t>LAHOLM</t>
        </is>
      </c>
      <c r="I300" t="n">
        <v>9.199999999999999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45769</v>
      </c>
      <c r="E301" s="1" t="n">
        <v>46226</v>
      </c>
      <c r="F301" t="inlineStr">
        <is>
          <t>HALLANDS LÄN</t>
        </is>
      </c>
      <c r="G301" t="inlineStr">
        <is>
          <t>LAHOLM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46226</v>
      </c>
      <c r="F302" t="inlineStr">
        <is>
          <t>HALLANDS LÄN</t>
        </is>
      </c>
      <c r="G302" t="inlineStr">
        <is>
          <t>LAHOLM</t>
        </is>
      </c>
      <c r="H302" t="inlineStr">
        <is>
          <t>Kyrkan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46226</v>
      </c>
      <c r="F303" t="inlineStr">
        <is>
          <t>HALLANDS LÄN</t>
        </is>
      </c>
      <c r="G303" t="inlineStr">
        <is>
          <t>LAHOLM</t>
        </is>
      </c>
      <c r="H303" t="inlineStr">
        <is>
          <t>Kyrkan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45377</v>
      </c>
      <c r="E304" s="1" t="n">
        <v>46226</v>
      </c>
      <c r="F304" t="inlineStr">
        <is>
          <t>HALLANDS LÄN</t>
        </is>
      </c>
      <c r="G304" t="inlineStr">
        <is>
          <t>LAHOLM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46226</v>
      </c>
      <c r="F305" t="inlineStr">
        <is>
          <t>HALLANDS LÄN</t>
        </is>
      </c>
      <c r="G305" t="inlineStr">
        <is>
          <t>LAHOLM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46226</v>
      </c>
      <c r="F306" t="inlineStr">
        <is>
          <t>HALLANDS LÄN</t>
        </is>
      </c>
      <c r="G306" t="inlineStr">
        <is>
          <t>LAHOLM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46226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30796-2022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44764</v>
      </c>
      <c r="E308" s="1" t="n">
        <v>46226</v>
      </c>
      <c r="F308" t="inlineStr">
        <is>
          <t>HALLANDS LÄN</t>
        </is>
      </c>
      <c r="G308" t="inlineStr">
        <is>
          <t>LAHOLM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46226</v>
      </c>
      <c r="F309" t="inlineStr">
        <is>
          <t>HALLANDS LÄN</t>
        </is>
      </c>
      <c r="G309" t="inlineStr">
        <is>
          <t>LAHOLM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45131</v>
      </c>
      <c r="E310" s="1" t="n">
        <v>46226</v>
      </c>
      <c r="F310" t="inlineStr">
        <is>
          <t>HALLANDS LÄN</t>
        </is>
      </c>
      <c r="G310" t="inlineStr">
        <is>
          <t>LAHOLM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45727</v>
      </c>
      <c r="E311" s="1" t="n">
        <v>46226</v>
      </c>
      <c r="F311" t="inlineStr">
        <is>
          <t>HALLANDS LÄN</t>
        </is>
      </c>
      <c r="G311" t="inlineStr">
        <is>
          <t>LAHOLM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46226</v>
      </c>
      <c r="F312" t="inlineStr">
        <is>
          <t>HALLANDS LÄN</t>
        </is>
      </c>
      <c r="G312" t="inlineStr">
        <is>
          <t>LAHOLM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46226</v>
      </c>
      <c r="F313" t="inlineStr">
        <is>
          <t>HALLANDS LÄN</t>
        </is>
      </c>
      <c r="G313" t="inlineStr">
        <is>
          <t>LAHOLM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46226</v>
      </c>
      <c r="F314" t="inlineStr">
        <is>
          <t>HALLANDS LÄN</t>
        </is>
      </c>
      <c r="G314" t="inlineStr">
        <is>
          <t>LAHOLM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46226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46226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45320</v>
      </c>
      <c r="E317" s="1" t="n">
        <v>46226</v>
      </c>
      <c r="F317" t="inlineStr">
        <is>
          <t>HALLANDS LÄN</t>
        </is>
      </c>
      <c r="G317" t="inlineStr">
        <is>
          <t>LAHOLM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55135-2023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46226</v>
      </c>
      <c r="F318" t="inlineStr">
        <is>
          <t>HALLANDS LÄN</t>
        </is>
      </c>
      <c r="G318" t="inlineStr">
        <is>
          <t>LAHOLM</t>
        </is>
      </c>
      <c r="H318" t="inlineStr">
        <is>
          <t>Övriga statliga verk och myndigheter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45179</v>
      </c>
      <c r="E319" s="1" t="n">
        <v>46226</v>
      </c>
      <c r="F319" t="inlineStr">
        <is>
          <t>HALLANDS LÄN</t>
        </is>
      </c>
      <c r="G319" t="inlineStr">
        <is>
          <t>LAHOLM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46226</v>
      </c>
      <c r="F320" t="inlineStr">
        <is>
          <t>HALLANDS LÄN</t>
        </is>
      </c>
      <c r="G320" t="inlineStr">
        <is>
          <t>LAHOLM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46226</v>
      </c>
      <c r="F321" t="inlineStr">
        <is>
          <t>HALLANDS LÄN</t>
        </is>
      </c>
      <c r="G321" t="inlineStr">
        <is>
          <t>LAHOLM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46211</v>
      </c>
      <c r="E322" s="1" t="n">
        <v>46226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46226</v>
      </c>
      <c r="F323" t="inlineStr">
        <is>
          <t>HALLANDS LÄN</t>
        </is>
      </c>
      <c r="G323" t="inlineStr">
        <is>
          <t>LAHOLM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45688</v>
      </c>
      <c r="E324" s="1" t="n">
        <v>46226</v>
      </c>
      <c r="F324" t="inlineStr">
        <is>
          <t>HALLANDS LÄN</t>
        </is>
      </c>
      <c r="G324" t="inlineStr">
        <is>
          <t>LAHOLM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46226</v>
      </c>
      <c r="F325" t="inlineStr">
        <is>
          <t>HALLANDS LÄN</t>
        </is>
      </c>
      <c r="G325" t="inlineStr">
        <is>
          <t>LAHOLM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42562-2022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44831</v>
      </c>
      <c r="E326" s="1" t="n">
        <v>46226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46226</v>
      </c>
      <c r="F327" t="inlineStr">
        <is>
          <t>HALLANDS LÄN</t>
        </is>
      </c>
      <c r="G327" t="inlineStr">
        <is>
          <t>LAHOLM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34866-2025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45849</v>
      </c>
      <c r="E328" s="1" t="n">
        <v>46226</v>
      </c>
      <c r="F328" t="inlineStr">
        <is>
          <t>HALLANDS LÄN</t>
        </is>
      </c>
      <c r="G328" t="inlineStr">
        <is>
          <t>LAHOLM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46226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46226</v>
      </c>
      <c r="F330" t="inlineStr">
        <is>
          <t>HALLANDS LÄN</t>
        </is>
      </c>
      <c r="G330" t="inlineStr">
        <is>
          <t>LAHOLM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46226</v>
      </c>
      <c r="F331" t="inlineStr">
        <is>
          <t>HALLANDS LÄN</t>
        </is>
      </c>
      <c r="G331" t="inlineStr">
        <is>
          <t>LAHOLM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46226</v>
      </c>
      <c r="F332" t="inlineStr">
        <is>
          <t>HALLANDS LÄN</t>
        </is>
      </c>
      <c r="G332" t="inlineStr">
        <is>
          <t>LAHOLM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46226</v>
      </c>
      <c r="F333" t="inlineStr">
        <is>
          <t>HALLANDS LÄN</t>
        </is>
      </c>
      <c r="G333" t="inlineStr">
        <is>
          <t>LAHOLM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64566-2021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44511</v>
      </c>
      <c r="E334" s="1" t="n">
        <v>46226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46226</v>
      </c>
      <c r="F335" t="inlineStr">
        <is>
          <t>HALLANDS LÄN</t>
        </is>
      </c>
      <c r="G335" t="inlineStr">
        <is>
          <t>LAHOLM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45035</v>
      </c>
      <c r="E336" s="1" t="n">
        <v>46226</v>
      </c>
      <c r="F336" t="inlineStr">
        <is>
          <t>HALLANDS LÄN</t>
        </is>
      </c>
      <c r="G336" t="inlineStr">
        <is>
          <t>LAHOLM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46226</v>
      </c>
      <c r="F337" t="inlineStr">
        <is>
          <t>HALLANDS LÄN</t>
        </is>
      </c>
      <c r="G337" t="inlineStr">
        <is>
          <t>LAHOLM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46222</v>
      </c>
      <c r="E338" s="1" t="n">
        <v>46226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46226</v>
      </c>
      <c r="F339" t="inlineStr">
        <is>
          <t>HALLANDS LÄN</t>
        </is>
      </c>
      <c r="G339" t="inlineStr">
        <is>
          <t>LAHOLM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46135</v>
      </c>
      <c r="E340" s="1" t="n">
        <v>46226</v>
      </c>
      <c r="F340" t="inlineStr">
        <is>
          <t>HALLANDS LÄN</t>
        </is>
      </c>
      <c r="G340" t="inlineStr">
        <is>
          <t>LAHOLM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51515-2022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44869</v>
      </c>
      <c r="E341" s="1" t="n">
        <v>46226</v>
      </c>
      <c r="F341" t="inlineStr">
        <is>
          <t>HALLANDS LÄN</t>
        </is>
      </c>
      <c r="G341" t="inlineStr">
        <is>
          <t>LAHOLM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44869</v>
      </c>
      <c r="E342" s="1" t="n">
        <v>46226</v>
      </c>
      <c r="F342" t="inlineStr">
        <is>
          <t>HALLANDS LÄN</t>
        </is>
      </c>
      <c r="G342" t="inlineStr">
        <is>
          <t>LAHOLM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46226</v>
      </c>
      <c r="F343" t="inlineStr">
        <is>
          <t>HALLANDS LÄN</t>
        </is>
      </c>
      <c r="G343" t="inlineStr">
        <is>
          <t>LAHOLM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45002</v>
      </c>
      <c r="E344" s="1" t="n">
        <v>46226</v>
      </c>
      <c r="F344" t="inlineStr">
        <is>
          <t>HALLANDS LÄN</t>
        </is>
      </c>
      <c r="G344" t="inlineStr">
        <is>
          <t>LAHOLM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44873</v>
      </c>
      <c r="E345" s="1" t="n">
        <v>46226</v>
      </c>
      <c r="F345" t="inlineStr">
        <is>
          <t>HALLANDS LÄN</t>
        </is>
      </c>
      <c r="G345" t="inlineStr">
        <is>
          <t>LAHOLM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57135-2022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44895</v>
      </c>
      <c r="E346" s="1" t="n">
        <v>46226</v>
      </c>
      <c r="F346" t="inlineStr">
        <is>
          <t>HALLANDS LÄN</t>
        </is>
      </c>
      <c r="G346" t="inlineStr">
        <is>
          <t>LAHOLM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46226</v>
      </c>
      <c r="F347" t="inlineStr">
        <is>
          <t>HALLANDS LÄN</t>
        </is>
      </c>
      <c r="G347" t="inlineStr">
        <is>
          <t>LAHOLM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46226</v>
      </c>
      <c r="F348" t="inlineStr">
        <is>
          <t>HALLANDS LÄN</t>
        </is>
      </c>
      <c r="G348" t="inlineStr">
        <is>
          <t>LAHOLM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44771</v>
      </c>
      <c r="E349" s="1" t="n">
        <v>46226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52056-2022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46226</v>
      </c>
      <c r="F350" t="inlineStr">
        <is>
          <t>HALLANDS LÄN</t>
        </is>
      </c>
      <c r="G350" t="inlineStr">
        <is>
          <t>LAHOLM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62134-2022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44922</v>
      </c>
      <c r="E351" s="1" t="n">
        <v>46226</v>
      </c>
      <c r="F351" t="inlineStr">
        <is>
          <t>HALLANDS LÄN</t>
        </is>
      </c>
      <c r="G351" t="inlineStr">
        <is>
          <t>LAHOLM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44463</v>
      </c>
      <c r="E352" s="1" t="n">
        <v>46226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44827</v>
      </c>
      <c r="E353" s="1" t="n">
        <v>46226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44949</v>
      </c>
      <c r="E354" s="1" t="n">
        <v>46226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46226</v>
      </c>
      <c r="F355" t="inlineStr">
        <is>
          <t>HALLANDS LÄN</t>
        </is>
      </c>
      <c r="G355" t="inlineStr">
        <is>
          <t>LAHOLM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40810-2023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45171</v>
      </c>
      <c r="E356" s="1" t="n">
        <v>46226</v>
      </c>
      <c r="F356" t="inlineStr">
        <is>
          <t>HALLANDS LÄN</t>
        </is>
      </c>
      <c r="G356" t="inlineStr">
        <is>
          <t>LAHOLM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53128-2021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44467</v>
      </c>
      <c r="E357" s="1" t="n">
        <v>46226</v>
      </c>
      <c r="F357" t="inlineStr">
        <is>
          <t>HALLANDS LÄN</t>
        </is>
      </c>
      <c r="G357" t="inlineStr">
        <is>
          <t>LAHOLM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44572</v>
      </c>
      <c r="E358" s="1" t="n">
        <v>46226</v>
      </c>
      <c r="F358" t="inlineStr">
        <is>
          <t>HALLANDS LÄN</t>
        </is>
      </c>
      <c r="G358" t="inlineStr">
        <is>
          <t>LAHOLM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46226</v>
      </c>
      <c r="F359" t="inlineStr">
        <is>
          <t>HALLANDS LÄN</t>
        </is>
      </c>
      <c r="G359" t="inlineStr">
        <is>
          <t>LAHOLM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52094-2021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46226</v>
      </c>
      <c r="F360" t="inlineStr">
        <is>
          <t>HALLANDS LÄN</t>
        </is>
      </c>
      <c r="G360" t="inlineStr">
        <is>
          <t>LAHOLM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46226</v>
      </c>
      <c r="F361" t="inlineStr">
        <is>
          <t>HALLANDS LÄN</t>
        </is>
      </c>
      <c r="G361" t="inlineStr">
        <is>
          <t>LAHOLM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13505-2023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46226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46226</v>
      </c>
      <c r="F363" t="inlineStr">
        <is>
          <t>HALLANDS LÄN</t>
        </is>
      </c>
      <c r="G363" t="inlineStr">
        <is>
          <t>LAHOLM</t>
        </is>
      </c>
      <c r="H363" t="inlineStr">
        <is>
          <t>Kommuner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67861-2021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44525</v>
      </c>
      <c r="E364" s="1" t="n">
        <v>46226</v>
      </c>
      <c r="F364" t="inlineStr">
        <is>
          <t>HALLANDS LÄN</t>
        </is>
      </c>
      <c r="G364" t="inlineStr">
        <is>
          <t>LAHOLM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45195</v>
      </c>
      <c r="E365" s="1" t="n">
        <v>46226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46226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17097-2022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44677</v>
      </c>
      <c r="E367" s="1" t="n">
        <v>46226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45237</v>
      </c>
      <c r="E368" s="1" t="n">
        <v>46226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46226</v>
      </c>
      <c r="F369" t="inlineStr">
        <is>
          <t>HALLANDS LÄN</t>
        </is>
      </c>
      <c r="G369" t="inlineStr">
        <is>
          <t>LAHOLM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46226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45230</v>
      </c>
      <c r="E371" s="1" t="n">
        <v>46226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46226</v>
      </c>
      <c r="F372" t="inlineStr">
        <is>
          <t>HALLANDS LÄN</t>
        </is>
      </c>
      <c r="G372" t="inlineStr">
        <is>
          <t>LAHOLM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46226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46226</v>
      </c>
      <c r="F374" t="inlineStr">
        <is>
          <t>HALLANDS LÄN</t>
        </is>
      </c>
      <c r="G374" t="inlineStr">
        <is>
          <t>LAHOLM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45069</v>
      </c>
      <c r="E375" s="1" t="n">
        <v>46226</v>
      </c>
      <c r="F375" t="inlineStr">
        <is>
          <t>HALLANDS LÄN</t>
        </is>
      </c>
      <c r="G375" t="inlineStr">
        <is>
          <t>LAHOLM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46226</v>
      </c>
      <c r="F376" t="inlineStr">
        <is>
          <t>HALLANDS LÄN</t>
        </is>
      </c>
      <c r="G376" t="inlineStr">
        <is>
          <t>LAHOLM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60341-2024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45643</v>
      </c>
      <c r="E377" s="1" t="n">
        <v>46226</v>
      </c>
      <c r="F377" t="inlineStr">
        <is>
          <t>HALLANDS LÄN</t>
        </is>
      </c>
      <c r="G377" t="inlineStr">
        <is>
          <t>LAHOLM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46226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46226</v>
      </c>
      <c r="F379" t="inlineStr">
        <is>
          <t>HALLANDS LÄN</t>
        </is>
      </c>
      <c r="G379" t="inlineStr">
        <is>
          <t>LAHOLM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48682-2023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45208</v>
      </c>
      <c r="E380" s="1" t="n">
        <v>46226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38078-2021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44404</v>
      </c>
      <c r="E381" s="1" t="n">
        <v>46226</v>
      </c>
      <c r="F381" t="inlineStr">
        <is>
          <t>HALLANDS LÄN</t>
        </is>
      </c>
      <c r="G381" t="inlineStr">
        <is>
          <t>LAHOLM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45139</v>
      </c>
      <c r="E382" s="1" t="n">
        <v>46226</v>
      </c>
      <c r="F382" t="inlineStr">
        <is>
          <t>HALLANDS LÄN</t>
        </is>
      </c>
      <c r="G382" t="inlineStr">
        <is>
          <t>LAHOLM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46226</v>
      </c>
      <c r="F383" t="inlineStr">
        <is>
          <t>HALLANDS LÄN</t>
        </is>
      </c>
      <c r="G383" t="inlineStr">
        <is>
          <t>LAHOLM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46226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44639</v>
      </c>
      <c r="E385" s="1" t="n">
        <v>46226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44943</v>
      </c>
      <c r="E386" s="1" t="n">
        <v>46226</v>
      </c>
      <c r="F386" t="inlineStr">
        <is>
          <t>HALLANDS LÄN</t>
        </is>
      </c>
      <c r="G386" t="inlineStr">
        <is>
          <t>LAHOLM</t>
        </is>
      </c>
      <c r="H386" t="inlineStr">
        <is>
          <t>Kommuner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6753-2024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45342</v>
      </c>
      <c r="E387" s="1" t="n">
        <v>46226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45342</v>
      </c>
      <c r="E388" s="1" t="n">
        <v>46226</v>
      </c>
      <c r="F388" t="inlineStr">
        <is>
          <t>HALLANDS LÄN</t>
        </is>
      </c>
      <c r="G388" t="inlineStr">
        <is>
          <t>LAHOLM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44810</v>
      </c>
      <c r="E389" s="1" t="n">
        <v>46226</v>
      </c>
      <c r="F389" t="inlineStr">
        <is>
          <t>HALLANDS LÄN</t>
        </is>
      </c>
      <c r="G389" t="inlineStr">
        <is>
          <t>LAHOLM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45054</v>
      </c>
      <c r="E390" s="1" t="n">
        <v>46226</v>
      </c>
      <c r="F390" t="inlineStr">
        <is>
          <t>HALLANDS LÄN</t>
        </is>
      </c>
      <c r="G390" t="inlineStr">
        <is>
          <t>LAHOLM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64575-2021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44511</v>
      </c>
      <c r="E391" s="1" t="n">
        <v>46226</v>
      </c>
      <c r="F391" t="inlineStr">
        <is>
          <t>HALLANDS LÄN</t>
        </is>
      </c>
      <c r="G391" t="inlineStr">
        <is>
          <t>LAHOLM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45195</v>
      </c>
      <c r="E392" s="1" t="n">
        <v>46226</v>
      </c>
      <c r="F392" t="inlineStr">
        <is>
          <t>HALLANDS LÄN</t>
        </is>
      </c>
      <c r="G392" t="inlineStr">
        <is>
          <t>LAHOLM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35523-2024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46226</v>
      </c>
      <c r="F393" t="inlineStr">
        <is>
          <t>HALLANDS LÄN</t>
        </is>
      </c>
      <c r="G393" t="inlineStr">
        <is>
          <t>LAHOLM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6833-2022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44602</v>
      </c>
      <c r="E394" s="1" t="n">
        <v>46226</v>
      </c>
      <c r="F394" t="inlineStr">
        <is>
          <t>HALLANDS LÄN</t>
        </is>
      </c>
      <c r="G394" t="inlineStr">
        <is>
          <t>LAHOLM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45337</v>
      </c>
      <c r="E395" s="1" t="n">
        <v>46226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45268</v>
      </c>
      <c r="E396" s="1" t="n">
        <v>46226</v>
      </c>
      <c r="F396" t="inlineStr">
        <is>
          <t>HALLANDS LÄN</t>
        </is>
      </c>
      <c r="G396" t="inlineStr">
        <is>
          <t>LAHOLM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45112</v>
      </c>
      <c r="E397" s="1" t="n">
        <v>46226</v>
      </c>
      <c r="F397" t="inlineStr">
        <is>
          <t>HALLANDS LÄN</t>
        </is>
      </c>
      <c r="G397" t="inlineStr">
        <is>
          <t>LAHOLM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46226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45040</v>
      </c>
      <c r="E399" s="1" t="n">
        <v>46226</v>
      </c>
      <c r="F399" t="inlineStr">
        <is>
          <t>HALLANDS LÄN</t>
        </is>
      </c>
      <c r="G399" t="inlineStr">
        <is>
          <t>LAHOLM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46226</v>
      </c>
      <c r="F400" t="inlineStr">
        <is>
          <t>HALLANDS LÄN</t>
        </is>
      </c>
      <c r="G400" t="inlineStr">
        <is>
          <t>LAHOLM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45135</v>
      </c>
      <c r="E401" s="1" t="n">
        <v>46226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46226</v>
      </c>
      <c r="F402" t="inlineStr">
        <is>
          <t>HALLANDS LÄN</t>
        </is>
      </c>
      <c r="G402" t="inlineStr">
        <is>
          <t>LAHOLM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45734</v>
      </c>
      <c r="E403" s="1" t="n">
        <v>46226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8036-2025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46226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60025-2022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46226</v>
      </c>
      <c r="F405" t="inlineStr">
        <is>
          <t>HALLANDS LÄN</t>
        </is>
      </c>
      <c r="G405" t="inlineStr">
        <is>
          <t>LAHOLM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8891-2024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45357</v>
      </c>
      <c r="E406" s="1" t="n">
        <v>46226</v>
      </c>
      <c r="F406" t="inlineStr">
        <is>
          <t>HALLANDS LÄN</t>
        </is>
      </c>
      <c r="G406" t="inlineStr">
        <is>
          <t>LAHOLM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46226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46226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45303</v>
      </c>
      <c r="E409" s="1" t="n">
        <v>46226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45582</v>
      </c>
      <c r="E410" s="1" t="n">
        <v>46226</v>
      </c>
      <c r="F410" t="inlineStr">
        <is>
          <t>HALLANDS LÄN</t>
        </is>
      </c>
      <c r="G410" t="inlineStr">
        <is>
          <t>LAHOLM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46226</v>
      </c>
      <c r="F411" t="inlineStr">
        <is>
          <t>HALLANDS LÄN</t>
        </is>
      </c>
      <c r="G411" t="inlineStr">
        <is>
          <t>LAHOLM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46226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49549-2023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45211</v>
      </c>
      <c r="E413" s="1" t="n">
        <v>46226</v>
      </c>
      <c r="F413" t="inlineStr">
        <is>
          <t>HALLANDS LÄN</t>
        </is>
      </c>
      <c r="G413" t="inlineStr">
        <is>
          <t>LAHOLM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46226</v>
      </c>
      <c r="F414" t="inlineStr">
        <is>
          <t>HALLANDS LÄN</t>
        </is>
      </c>
      <c r="G414" t="inlineStr">
        <is>
          <t>LAHOLM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45075</v>
      </c>
      <c r="E415" s="1" t="n">
        <v>46226</v>
      </c>
      <c r="F415" t="inlineStr">
        <is>
          <t>HALLANDS LÄN</t>
        </is>
      </c>
      <c r="G415" t="inlineStr">
        <is>
          <t>LAHOLM</t>
        </is>
      </c>
      <c r="H415" t="inlineStr">
        <is>
          <t>Övriga Aktiebolag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45159</v>
      </c>
      <c r="E416" s="1" t="n">
        <v>46226</v>
      </c>
      <c r="F416" t="inlineStr">
        <is>
          <t>HALLANDS LÄN</t>
        </is>
      </c>
      <c r="G416" t="inlineStr">
        <is>
          <t>LAHOLM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46226</v>
      </c>
      <c r="F417" t="inlineStr">
        <is>
          <t>HALLANDS LÄN</t>
        </is>
      </c>
      <c r="G417" t="inlineStr">
        <is>
          <t>LAHOLM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37972-2024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45544</v>
      </c>
      <c r="E418" s="1" t="n">
        <v>46226</v>
      </c>
      <c r="F418" t="inlineStr">
        <is>
          <t>HALLANDS LÄN</t>
        </is>
      </c>
      <c r="G418" t="inlineStr">
        <is>
          <t>LAHOLM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46226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45364</v>
      </c>
      <c r="E420" s="1" t="n">
        <v>46226</v>
      </c>
      <c r="F420" t="inlineStr">
        <is>
          <t>HALLANDS LÄN</t>
        </is>
      </c>
      <c r="G420" t="inlineStr">
        <is>
          <t>LAHOLM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46226</v>
      </c>
      <c r="F421" t="inlineStr">
        <is>
          <t>HALLANDS LÄN</t>
        </is>
      </c>
      <c r="G421" t="inlineStr">
        <is>
          <t>LAHOLM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45282</v>
      </c>
      <c r="E422" s="1" t="n">
        <v>46226</v>
      </c>
      <c r="F422" t="inlineStr">
        <is>
          <t>HALLANDS LÄN</t>
        </is>
      </c>
      <c r="G422" t="inlineStr">
        <is>
          <t>LAHOLM</t>
        </is>
      </c>
      <c r="H422" t="inlineStr">
        <is>
          <t>Övriga Aktiebolag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45152</v>
      </c>
      <c r="E423" s="1" t="n">
        <v>46226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23493-2023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46226</v>
      </c>
      <c r="F424" t="inlineStr">
        <is>
          <t>HALLANDS LÄN</t>
        </is>
      </c>
      <c r="G424" t="inlineStr">
        <is>
          <t>LAHOLM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45317</v>
      </c>
      <c r="E425" s="1" t="n">
        <v>46226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46226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45278</v>
      </c>
      <c r="E427" s="1" t="n">
        <v>46226</v>
      </c>
      <c r="F427" t="inlineStr">
        <is>
          <t>HALLANDS LÄN</t>
        </is>
      </c>
      <c r="G427" t="inlineStr">
        <is>
          <t>LAHOLM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46226</v>
      </c>
      <c r="F428" t="inlineStr">
        <is>
          <t>HALLANDS LÄN</t>
        </is>
      </c>
      <c r="G428" t="inlineStr">
        <is>
          <t>LAHOLM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46226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46226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46226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46226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59429-2021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46226</v>
      </c>
      <c r="F433" t="inlineStr">
        <is>
          <t>HALLANDS LÄN</t>
        </is>
      </c>
      <c r="G433" t="inlineStr">
        <is>
          <t>LAHOLM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46226</v>
      </c>
      <c r="F434" t="inlineStr">
        <is>
          <t>HALLANDS LÄN</t>
        </is>
      </c>
      <c r="G434" t="inlineStr">
        <is>
          <t>LAHOLM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46226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38929-2024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45548</v>
      </c>
      <c r="E436" s="1" t="n">
        <v>46226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46226</v>
      </c>
      <c r="F437" t="inlineStr">
        <is>
          <t>HALLANDS LÄN</t>
        </is>
      </c>
      <c r="G437" t="inlineStr">
        <is>
          <t>LAHOLM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46226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45246</v>
      </c>
      <c r="E439" s="1" t="n">
        <v>46226</v>
      </c>
      <c r="F439" t="inlineStr">
        <is>
          <t>HALLANDS LÄN</t>
        </is>
      </c>
      <c r="G439" t="inlineStr">
        <is>
          <t>LAHOLM</t>
        </is>
      </c>
      <c r="H439" t="inlineStr">
        <is>
          <t>Kommuner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45354-2024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45576</v>
      </c>
      <c r="E440" s="1" t="n">
        <v>46226</v>
      </c>
      <c r="F440" t="inlineStr">
        <is>
          <t>HALLANDS LÄN</t>
        </is>
      </c>
      <c r="G440" t="inlineStr">
        <is>
          <t>LAHOLM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46226</v>
      </c>
      <c r="F441" t="inlineStr">
        <is>
          <t>HALLANDS LÄN</t>
        </is>
      </c>
      <c r="G441" t="inlineStr">
        <is>
          <t>LAHOLM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46226</v>
      </c>
      <c r="F442" t="inlineStr">
        <is>
          <t>HALLANDS LÄN</t>
        </is>
      </c>
      <c r="G442" t="inlineStr">
        <is>
          <t>LAHOLM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46226</v>
      </c>
      <c r="F443" t="inlineStr">
        <is>
          <t>HALLANDS LÄN</t>
        </is>
      </c>
      <c r="G443" t="inlineStr">
        <is>
          <t>LAHOLM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46226</v>
      </c>
      <c r="F444" t="inlineStr">
        <is>
          <t>HALLANDS LÄN</t>
        </is>
      </c>
      <c r="G444" t="inlineStr">
        <is>
          <t>LAHOLM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46226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45000</v>
      </c>
      <c r="E446" s="1" t="n">
        <v>46226</v>
      </c>
      <c r="F446" t="inlineStr">
        <is>
          <t>HALLANDS LÄN</t>
        </is>
      </c>
      <c r="G446" t="inlineStr">
        <is>
          <t>LAHOLM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46226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46226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46226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46226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46226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46226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46226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46226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46226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46226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46226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46226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46226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46226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46226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46226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46226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2026-07-23T01:44:15Z</dcterms:created>
  <dcterms:modified xmlns:dcterms="http://purl.org/dc/terms/" xmlns:xsi="http://www.w3.org/2001/XMLSchema-instance" xsi:type="dcterms:W3CDTF">2026-07-23T01:44:15Z</dcterms:modified>
</cp:coreProperties>
</file>