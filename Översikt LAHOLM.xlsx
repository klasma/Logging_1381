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46262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46262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46262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46262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46262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46262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46262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46262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46262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46262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46262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46262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46262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46262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46262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46262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46262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46262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46262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46262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46262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55322-2025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45971</v>
      </c>
      <c r="E23" s="1" t="n">
        <v>46262</v>
      </c>
      <c r="F23" t="inlineStr">
        <is>
          <t>HALLANDS LÄN</t>
        </is>
      </c>
      <c r="G23" t="inlineStr">
        <is>
          <t>LAHOLM</t>
        </is>
      </c>
      <c r="I23" t="n">
        <v>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Hårginst</t>
        </is>
      </c>
      <c r="W23">
        <f>HYPERLINK("https://klasma.github.io/Logging_1381/artfynd/A 55322-2025 artfynd.xlsx", "A 55322-2025")</f>
        <v/>
      </c>
      <c r="X23">
        <f>HYPERLINK("https://klasma.github.io/Logging_1381/kartor/A 55322-2025 karta.png", "A 55322-2025")</f>
        <v/>
      </c>
      <c r="Y23">
        <f>HYPERLINK("https://klasma.github.io/Logging_1381/kartor_geotiff/A 55322-2025 georefererad karta.tif", "A 55322-2025")</f>
        <v/>
      </c>
      <c r="AA23">
        <f>HYPERLINK("https://klasma.github.io/Logging_1381/klagomål/A 55322-2025 FSC-klagomål.docx", "A 55322-2025")</f>
        <v/>
      </c>
      <c r="AB23">
        <f>HYPERLINK("https://klasma.github.io/Logging_1381/klagomålsmail/A 55322-2025 FSC-klagomål mail.docx", "A 55322-2025")</f>
        <v/>
      </c>
      <c r="AC23">
        <f>HYPERLINK("https://klasma.github.io/Logging_1381/tillsyn/A 55322-2025 tillsynsbegäran.docx", "A 55322-2025")</f>
        <v/>
      </c>
      <c r="AD23">
        <f>HYPERLINK("https://klasma.github.io/Logging_1381/tillsynsmail/A 55322-2025 tillsynsbegäran mail.docx", "A 55322-2025")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46262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46262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46262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52155-2023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45224</v>
      </c>
      <c r="E27" s="1" t="n">
        <v>46262</v>
      </c>
      <c r="F27" t="inlineStr">
        <is>
          <t>HALLANDS LÄN</t>
        </is>
      </c>
      <c r="G27" t="inlineStr">
        <is>
          <t>LAHOLM</t>
        </is>
      </c>
      <c r="I27" t="n">
        <v>2.6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Järnsparv</t>
        </is>
      </c>
      <c r="W27">
        <f>HYPERLINK("https://klasma.github.io/Logging_1381/artfynd/A 52155-2023 artfynd.xlsx", "A 52155-2023")</f>
        <v/>
      </c>
      <c r="X27">
        <f>HYPERLINK("https://klasma.github.io/Logging_1381/kartor/A 52155-2023 karta.png", "A 52155-2023")</f>
        <v/>
      </c>
      <c r="Y27">
        <f>HYPERLINK("https://klasma.github.io/Logging_1381/kartor_geotiff/A 52155-2023 georefererad karta.tif", "A 52155-2023")</f>
        <v/>
      </c>
      <c r="AA27">
        <f>HYPERLINK("https://klasma.github.io/Logging_1381/klagomål/A 52155-2023 FSC-klagomål.docx", "A 52155-2023")</f>
        <v/>
      </c>
      <c r="AB27">
        <f>HYPERLINK("https://klasma.github.io/Logging_1381/klagomålsmail/A 52155-2023 FSC-klagomål mail.docx", "A 52155-2023")</f>
        <v/>
      </c>
      <c r="AC27">
        <f>HYPERLINK("https://klasma.github.io/Logging_1381/tillsyn/A 52155-2023 tillsynsbegäran.docx", "A 52155-2023")</f>
        <v/>
      </c>
      <c r="AD27">
        <f>HYPERLINK("https://klasma.github.io/Logging_1381/tillsynsmail/A 52155-2023 tillsynsbegäran mail.docx", "A 52155-2023")</f>
        <v/>
      </c>
      <c r="AE27">
        <f>HYPERLINK("https://klasma.github.io/Logging_1381/fåglar/A 52155-2023 prioriterade fågelarter.docx", "A 52155-2023")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46262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46262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46262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46262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46262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46262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33086-2026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46245</v>
      </c>
      <c r="E34" s="1" t="n">
        <v>46262</v>
      </c>
      <c r="F34" t="inlineStr">
        <is>
          <t>HALLANDS LÄN</t>
        </is>
      </c>
      <c r="G34" t="inlineStr">
        <is>
          <t>LAHOLM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 taggsvamp</t>
        </is>
      </c>
      <c r="W34">
        <f>HYPERLINK("https://klasma.github.io/Logging_1381/artfynd/A 33086-2026 artfynd.xlsx", "A 33086-2026")</f>
        <v/>
      </c>
      <c r="X34">
        <f>HYPERLINK("https://klasma.github.io/Logging_1381/kartor/A 33086-2026 karta.png", "A 33086-2026")</f>
        <v/>
      </c>
      <c r="Y34">
        <f>HYPERLINK("https://klasma.github.io/Logging_1381/kartor_geotiff/A 33086-2026 georefererad karta.tif", "A 33086-2026")</f>
        <v/>
      </c>
      <c r="AA34">
        <f>HYPERLINK("https://klasma.github.io/Logging_1381/klagomål/A 33086-2026 FSC-klagomål.docx", "A 33086-2026")</f>
        <v/>
      </c>
      <c r="AB34">
        <f>HYPERLINK("https://klasma.github.io/Logging_1381/klagomålsmail/A 33086-2026 FSC-klagomål mail.docx", "A 33086-2026")</f>
        <v/>
      </c>
      <c r="AC34">
        <f>HYPERLINK("https://klasma.github.io/Logging_1381/tillsyn/A 33086-2026 tillsynsbegäran.docx", "A 33086-2026")</f>
        <v/>
      </c>
      <c r="AD34">
        <f>HYPERLINK("https://klasma.github.io/Logging_1381/tillsynsmail/A 33086-2026 tillsynsbegäran mail.docx", "A 33086-2026")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46262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46262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46262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46262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46262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46262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46262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46262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46262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46262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46262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46262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46262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46262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44873</v>
      </c>
      <c r="E49" s="1" t="n">
        <v>46262</v>
      </c>
      <c r="F49" t="inlineStr">
        <is>
          <t>HALLANDS LÄN</t>
        </is>
      </c>
      <c r="G49" t="inlineStr">
        <is>
          <t>LAHOLM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46262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46262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46262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46262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46262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46262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46262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46262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46262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46262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46262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46262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46262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46262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46262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46262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46262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46262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46262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46262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46262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46262</v>
      </c>
      <c r="F71" t="inlineStr">
        <is>
          <t>HALLANDS LÄN</t>
        </is>
      </c>
      <c r="G71" t="inlineStr">
        <is>
          <t>LAHOLM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46262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46262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46262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46262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46262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46262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46262</v>
      </c>
      <c r="F78" t="inlineStr">
        <is>
          <t>HALLANDS LÄN</t>
        </is>
      </c>
      <c r="G78" t="inlineStr">
        <is>
          <t>LAHOLM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45687</v>
      </c>
      <c r="E79" s="1" t="n">
        <v>46262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45132</v>
      </c>
      <c r="E80" s="1" t="n">
        <v>46262</v>
      </c>
      <c r="F80" t="inlineStr">
        <is>
          <t>HALLANDS LÄN</t>
        </is>
      </c>
      <c r="G80" t="inlineStr">
        <is>
          <t>LAHOLM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46262</v>
      </c>
      <c r="F81" t="inlineStr">
        <is>
          <t>HALLANDS LÄN</t>
        </is>
      </c>
      <c r="G81" t="inlineStr">
        <is>
          <t>LAHOLM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46262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46262</v>
      </c>
      <c r="F83" t="inlineStr">
        <is>
          <t>HALLANDS LÄN</t>
        </is>
      </c>
      <c r="G83" t="inlineStr">
        <is>
          <t>LAHOLM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46262</v>
      </c>
      <c r="F84" t="inlineStr">
        <is>
          <t>HALLANDS LÄN</t>
        </is>
      </c>
      <c r="G84" t="inlineStr">
        <is>
          <t>LAHOLM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20562-2023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45057</v>
      </c>
      <c r="E85" s="1" t="n">
        <v>46262</v>
      </c>
      <c r="F85" t="inlineStr">
        <is>
          <t>HALLANDS LÄN</t>
        </is>
      </c>
      <c r="G85" t="inlineStr">
        <is>
          <t>LAHOLM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44942</v>
      </c>
      <c r="E86" s="1" t="n">
        <v>46262</v>
      </c>
      <c r="F86" t="inlineStr">
        <is>
          <t>HALLANDS LÄN</t>
        </is>
      </c>
      <c r="G86" t="inlineStr">
        <is>
          <t>LAHOLM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46262</v>
      </c>
      <c r="F87" t="inlineStr">
        <is>
          <t>HALLANDS LÄN</t>
        </is>
      </c>
      <c r="G87" t="inlineStr">
        <is>
          <t>LAHOLM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46262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44802</v>
      </c>
      <c r="E89" s="1" t="n">
        <v>46262</v>
      </c>
      <c r="F89" t="inlineStr">
        <is>
          <t>HALLANDS LÄN</t>
        </is>
      </c>
      <c r="G89" t="inlineStr">
        <is>
          <t>LAHOLM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44726</v>
      </c>
      <c r="E90" s="1" t="n">
        <v>46262</v>
      </c>
      <c r="F90" t="inlineStr">
        <is>
          <t>HALLANDS LÄN</t>
        </is>
      </c>
      <c r="G90" t="inlineStr">
        <is>
          <t>LAHOLM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44928</v>
      </c>
      <c r="E91" s="1" t="n">
        <v>46262</v>
      </c>
      <c r="F91" t="inlineStr">
        <is>
          <t>HALLANDS LÄN</t>
        </is>
      </c>
      <c r="G91" t="inlineStr">
        <is>
          <t>LAHOLM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45646</v>
      </c>
      <c r="E92" s="1" t="n">
        <v>46262</v>
      </c>
      <c r="F92" t="inlineStr">
        <is>
          <t>HALLANDS LÄN</t>
        </is>
      </c>
      <c r="G92" t="inlineStr">
        <is>
          <t>LAHOLM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45630</v>
      </c>
      <c r="E93" s="1" t="n">
        <v>46262</v>
      </c>
      <c r="F93" t="inlineStr">
        <is>
          <t>HALLANDS LÄN</t>
        </is>
      </c>
      <c r="G93" t="inlineStr">
        <is>
          <t>LAHOLM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45246</v>
      </c>
      <c r="E94" s="1" t="n">
        <v>46262</v>
      </c>
      <c r="F94" t="inlineStr">
        <is>
          <t>HALLANDS LÄN</t>
        </is>
      </c>
      <c r="G94" t="inlineStr">
        <is>
          <t>LAHOLM</t>
        </is>
      </c>
      <c r="H94" t="inlineStr">
        <is>
          <t>Kommuner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45354-2024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45576</v>
      </c>
      <c r="E95" s="1" t="n">
        <v>46262</v>
      </c>
      <c r="F95" t="inlineStr">
        <is>
          <t>HALLANDS LÄN</t>
        </is>
      </c>
      <c r="G95" t="inlineStr">
        <is>
          <t>LAHOLM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46262</v>
      </c>
      <c r="F96" t="inlineStr">
        <is>
          <t>HALLANDS LÄN</t>
        </is>
      </c>
      <c r="G96" t="inlineStr">
        <is>
          <t>LAHOLM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34050-2023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45135</v>
      </c>
      <c r="E97" s="1" t="n">
        <v>46262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36930-2024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46262</v>
      </c>
      <c r="F98" t="inlineStr">
        <is>
          <t>HALLANDS LÄN</t>
        </is>
      </c>
      <c r="G98" t="inlineStr">
        <is>
          <t>LAHOLM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46262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46262</v>
      </c>
      <c r="F100" t="inlineStr">
        <is>
          <t>HALLANDS LÄN</t>
        </is>
      </c>
      <c r="G100" t="inlineStr">
        <is>
          <t>LAHOLM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46262</v>
      </c>
      <c r="F101" t="inlineStr">
        <is>
          <t>HALLANDS LÄN</t>
        </is>
      </c>
      <c r="G101" t="inlineStr">
        <is>
          <t>LAHOLM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46262</v>
      </c>
      <c r="F102" t="inlineStr">
        <is>
          <t>HALLANDS LÄN</t>
        </is>
      </c>
      <c r="G102" t="inlineStr">
        <is>
          <t>LAHOLM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44846</v>
      </c>
      <c r="E103" s="1" t="n">
        <v>46262</v>
      </c>
      <c r="F103" t="inlineStr">
        <is>
          <t>HALLANDS LÄN</t>
        </is>
      </c>
      <c r="G103" t="inlineStr">
        <is>
          <t>LAHOLM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61903-2023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46262</v>
      </c>
      <c r="F104" t="inlineStr">
        <is>
          <t>HALLANDS LÄN</t>
        </is>
      </c>
      <c r="G104" t="inlineStr">
        <is>
          <t>LAHOLM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26798-2023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46262</v>
      </c>
      <c r="F105" t="inlineStr">
        <is>
          <t>HALLANDS LÄN</t>
        </is>
      </c>
      <c r="G105" t="inlineStr">
        <is>
          <t>LAHOLM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46262</v>
      </c>
      <c r="F106" t="inlineStr">
        <is>
          <t>HALLANDS LÄN</t>
        </is>
      </c>
      <c r="G106" t="inlineStr">
        <is>
          <t>LAHOLM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46262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60830-2024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46262</v>
      </c>
      <c r="F108" t="inlineStr">
        <is>
          <t>HALLANDS LÄN</t>
        </is>
      </c>
      <c r="G108" t="inlineStr">
        <is>
          <t>LAHOLM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45000</v>
      </c>
      <c r="E109" s="1" t="n">
        <v>46262</v>
      </c>
      <c r="F109" t="inlineStr">
        <is>
          <t>HALLANDS LÄN</t>
        </is>
      </c>
      <c r="G109" t="inlineStr">
        <is>
          <t>LAHOLM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46262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45231</v>
      </c>
      <c r="E111" s="1" t="n">
        <v>46262</v>
      </c>
      <c r="F111" t="inlineStr">
        <is>
          <t>HALLANDS LÄN</t>
        </is>
      </c>
      <c r="G111" t="inlineStr">
        <is>
          <t>LAHOLM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46262</v>
      </c>
      <c r="F112" t="inlineStr">
        <is>
          <t>HALLANDS LÄN</t>
        </is>
      </c>
      <c r="G112" t="inlineStr">
        <is>
          <t>LAHOLM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44943</v>
      </c>
      <c r="E113" s="1" t="n">
        <v>46262</v>
      </c>
      <c r="F113" t="inlineStr">
        <is>
          <t>HALLANDS LÄN</t>
        </is>
      </c>
      <c r="G113" t="inlineStr">
        <is>
          <t>LAHOLM</t>
        </is>
      </c>
      <c r="H113" t="inlineStr">
        <is>
          <t>Kommuner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44909</v>
      </c>
      <c r="E114" s="1" t="n">
        <v>46262</v>
      </c>
      <c r="F114" t="inlineStr">
        <is>
          <t>HALLANDS LÄN</t>
        </is>
      </c>
      <c r="G114" t="inlineStr">
        <is>
          <t>LAHOLM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46262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46262</v>
      </c>
      <c r="F116" t="inlineStr">
        <is>
          <t>HALLANDS LÄN</t>
        </is>
      </c>
      <c r="G116" t="inlineStr">
        <is>
          <t>LAHOLM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45965</v>
      </c>
      <c r="E117" s="1" t="n">
        <v>46262</v>
      </c>
      <c r="F117" t="inlineStr">
        <is>
          <t>HALLANDS LÄN</t>
        </is>
      </c>
      <c r="G117" t="inlineStr">
        <is>
          <t>LAHOLM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45971</v>
      </c>
      <c r="E118" s="1" t="n">
        <v>46262</v>
      </c>
      <c r="F118" t="inlineStr">
        <is>
          <t>HALLANDS LÄN</t>
        </is>
      </c>
      <c r="G118" t="inlineStr">
        <is>
          <t>LAHOLM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46262</v>
      </c>
      <c r="F119" t="inlineStr">
        <is>
          <t>HALLANDS LÄN</t>
        </is>
      </c>
      <c r="G119" t="inlineStr">
        <is>
          <t>LAHOLM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42103-2025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46262</v>
      </c>
      <c r="F120" t="inlineStr">
        <is>
          <t>HALLANDS LÄN</t>
        </is>
      </c>
      <c r="G120" t="inlineStr">
        <is>
          <t>LAHOLM</t>
        </is>
      </c>
      <c r="I120" t="n">
        <v>9.6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46262</v>
      </c>
      <c r="F121" t="inlineStr">
        <is>
          <t>HALLANDS LÄN</t>
        </is>
      </c>
      <c r="G121" t="inlineStr">
        <is>
          <t>LAHOLM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44928</v>
      </c>
      <c r="E122" s="1" t="n">
        <v>46262</v>
      </c>
      <c r="F122" t="inlineStr">
        <is>
          <t>HALLANDS LÄN</t>
        </is>
      </c>
      <c r="G122" t="inlineStr">
        <is>
          <t>LAHOLM</t>
        </is>
      </c>
      <c r="H122" t="inlineStr">
        <is>
          <t>Kommuner</t>
        </is>
      </c>
      <c r="I122" t="n">
        <v>12.2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46262</v>
      </c>
      <c r="F123" t="inlineStr">
        <is>
          <t>HALLANDS LÄN</t>
        </is>
      </c>
      <c r="G123" t="inlineStr">
        <is>
          <t>LAHOLM</t>
        </is>
      </c>
      <c r="H123" t="inlineStr">
        <is>
          <t>Övriga statliga verk och myndigheter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45979</v>
      </c>
      <c r="E124" s="1" t="n">
        <v>46262</v>
      </c>
      <c r="F124" t="inlineStr">
        <is>
          <t>HALLANDS LÄN</t>
        </is>
      </c>
      <c r="G124" t="inlineStr">
        <is>
          <t>LAHOLM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46262</v>
      </c>
      <c r="F125" t="inlineStr">
        <is>
          <t>HALLANDS LÄN</t>
        </is>
      </c>
      <c r="G125" t="inlineStr">
        <is>
          <t>LAHOLM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46262</v>
      </c>
      <c r="F126" t="inlineStr">
        <is>
          <t>HALLANDS LÄN</t>
        </is>
      </c>
      <c r="G126" t="inlineStr">
        <is>
          <t>LAHOLM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46262</v>
      </c>
      <c r="F127" t="inlineStr">
        <is>
          <t>HALLANDS LÄN</t>
        </is>
      </c>
      <c r="G127" t="inlineStr">
        <is>
          <t>LAHOLM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45171</v>
      </c>
      <c r="E128" s="1" t="n">
        <v>46262</v>
      </c>
      <c r="F128" t="inlineStr">
        <is>
          <t>HALLANDS LÄN</t>
        </is>
      </c>
      <c r="G128" t="inlineStr">
        <is>
          <t>LAHOLM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29637-2025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46262</v>
      </c>
      <c r="F129" t="inlineStr">
        <is>
          <t>HALLANDS LÄN</t>
        </is>
      </c>
      <c r="G129" t="inlineStr">
        <is>
          <t>LAHOLM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46262</v>
      </c>
      <c r="F130" t="inlineStr">
        <is>
          <t>HALLANDS LÄN</t>
        </is>
      </c>
      <c r="G130" t="inlineStr">
        <is>
          <t>LAHOLM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46262</v>
      </c>
      <c r="F131" t="inlineStr">
        <is>
          <t>HALLANDS LÄN</t>
        </is>
      </c>
      <c r="G131" t="inlineStr">
        <is>
          <t>LAHOLM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46262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45719</v>
      </c>
      <c r="E133" s="1" t="n">
        <v>46262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53598-2021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44469</v>
      </c>
      <c r="E134" s="1" t="n">
        <v>46262</v>
      </c>
      <c r="F134" t="inlineStr">
        <is>
          <t>HALLANDS LÄN</t>
        </is>
      </c>
      <c r="G134" t="inlineStr">
        <is>
          <t>LAHOLM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45362</v>
      </c>
      <c r="E135" s="1" t="n">
        <v>46262</v>
      </c>
      <c r="F135" t="inlineStr">
        <is>
          <t>HALLANDS LÄN</t>
        </is>
      </c>
      <c r="G135" t="inlineStr">
        <is>
          <t>LAHOLM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46262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45843</v>
      </c>
      <c r="E137" s="1" t="n">
        <v>46262</v>
      </c>
      <c r="F137" t="inlineStr">
        <is>
          <t>HALLANDS LÄN</t>
        </is>
      </c>
      <c r="G137" t="inlineStr">
        <is>
          <t>LAHOLM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33798-2025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45842</v>
      </c>
      <c r="E138" s="1" t="n">
        <v>46262</v>
      </c>
      <c r="F138" t="inlineStr">
        <is>
          <t>HALLANDS LÄN</t>
        </is>
      </c>
      <c r="G138" t="inlineStr">
        <is>
          <t>LAHOLM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46262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45299</v>
      </c>
      <c r="E140" s="1" t="n">
        <v>46262</v>
      </c>
      <c r="F140" t="inlineStr">
        <is>
          <t>HALLANDS LÄN</t>
        </is>
      </c>
      <c r="G140" t="inlineStr">
        <is>
          <t>LAHOLM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46262</v>
      </c>
      <c r="F141" t="inlineStr">
        <is>
          <t>HALLANDS LÄN</t>
        </is>
      </c>
      <c r="G141" t="inlineStr">
        <is>
          <t>LAHOLM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46262</v>
      </c>
      <c r="F142" t="inlineStr">
        <is>
          <t>HALLANDS LÄN</t>
        </is>
      </c>
      <c r="G142" t="inlineStr">
        <is>
          <t>LAHOLM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46262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442-2025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45664</v>
      </c>
      <c r="E144" s="1" t="n">
        <v>46262</v>
      </c>
      <c r="F144" t="inlineStr">
        <is>
          <t>HALLANDS LÄN</t>
        </is>
      </c>
      <c r="G144" t="inlineStr">
        <is>
          <t>LAHOLM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46262</v>
      </c>
      <c r="F145" t="inlineStr">
        <is>
          <t>HALLANDS LÄN</t>
        </is>
      </c>
      <c r="G145" t="inlineStr">
        <is>
          <t>LAHOLM</t>
        </is>
      </c>
      <c r="I145" t="n">
        <v>8.699999999999999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46262</v>
      </c>
      <c r="F146" t="inlineStr">
        <is>
          <t>HALLANDS LÄN</t>
        </is>
      </c>
      <c r="G146" t="inlineStr">
        <is>
          <t>LAHOLM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45589</v>
      </c>
      <c r="E147" s="1" t="n">
        <v>46262</v>
      </c>
      <c r="F147" t="inlineStr">
        <is>
          <t>HALLANDS LÄN</t>
        </is>
      </c>
      <c r="G147" t="inlineStr">
        <is>
          <t>LAHOLM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46262</v>
      </c>
      <c r="F148" t="inlineStr">
        <is>
          <t>HALLANDS LÄN</t>
        </is>
      </c>
      <c r="G148" t="inlineStr">
        <is>
          <t>LAHOLM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61785-2021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46262</v>
      </c>
      <c r="F149" t="inlineStr">
        <is>
          <t>HALLANDS LÄN</t>
        </is>
      </c>
      <c r="G149" t="inlineStr">
        <is>
          <t>LAHOLM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50099-2023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46262</v>
      </c>
      <c r="F150" t="inlineStr">
        <is>
          <t>HALLANDS LÄN</t>
        </is>
      </c>
      <c r="G150" t="inlineStr">
        <is>
          <t>LAHOLM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46572-2024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46262</v>
      </c>
      <c r="F151" t="inlineStr">
        <is>
          <t>HALLANDS LÄN</t>
        </is>
      </c>
      <c r="G151" t="inlineStr">
        <is>
          <t>LAHOLM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25478-2025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45802</v>
      </c>
      <c r="E152" s="1" t="n">
        <v>46262</v>
      </c>
      <c r="F152" t="inlineStr">
        <is>
          <t>HALLANDS LÄN</t>
        </is>
      </c>
      <c r="G152" t="inlineStr">
        <is>
          <t>LAHOLM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45274</v>
      </c>
      <c r="E153" s="1" t="n">
        <v>46262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46262</v>
      </c>
      <c r="F154" t="inlineStr">
        <is>
          <t>HALLANDS LÄN</t>
        </is>
      </c>
      <c r="G154" t="inlineStr">
        <is>
          <t>LAHOLM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45322</v>
      </c>
      <c r="E155" s="1" t="n">
        <v>46262</v>
      </c>
      <c r="F155" t="inlineStr">
        <is>
          <t>HALLANDS LÄN</t>
        </is>
      </c>
      <c r="G155" t="inlineStr">
        <is>
          <t>LAHOLM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46262</v>
      </c>
      <c r="F156" t="inlineStr">
        <is>
          <t>HALLANDS LÄN</t>
        </is>
      </c>
      <c r="G156" t="inlineStr">
        <is>
          <t>LAHOLM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45635</v>
      </c>
      <c r="E157" s="1" t="n">
        <v>46262</v>
      </c>
      <c r="F157" t="inlineStr">
        <is>
          <t>HALLANDS LÄN</t>
        </is>
      </c>
      <c r="G157" t="inlineStr">
        <is>
          <t>LAHOLM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46262</v>
      </c>
      <c r="F158" t="inlineStr">
        <is>
          <t>HALLANDS LÄN</t>
        </is>
      </c>
      <c r="G158" t="inlineStr">
        <is>
          <t>LAHOLM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46262</v>
      </c>
      <c r="F159" t="inlineStr">
        <is>
          <t>HALLANDS LÄN</t>
        </is>
      </c>
      <c r="G159" t="inlineStr">
        <is>
          <t>LAHOLM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46262</v>
      </c>
      <c r="F160" t="inlineStr">
        <is>
          <t>HALLANDS LÄN</t>
        </is>
      </c>
      <c r="G160" t="inlineStr">
        <is>
          <t>LAHOLM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44977</v>
      </c>
      <c r="E161" s="1" t="n">
        <v>46262</v>
      </c>
      <c r="F161" t="inlineStr">
        <is>
          <t>HALLANDS LÄN</t>
        </is>
      </c>
      <c r="G161" t="inlineStr">
        <is>
          <t>LAHOLM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46262</v>
      </c>
      <c r="F162" t="inlineStr">
        <is>
          <t>HALLANDS LÄN</t>
        </is>
      </c>
      <c r="G162" t="inlineStr">
        <is>
          <t>LAHOLM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45545</v>
      </c>
      <c r="E163" s="1" t="n">
        <v>46262</v>
      </c>
      <c r="F163" t="inlineStr">
        <is>
          <t>HALLANDS LÄN</t>
        </is>
      </c>
      <c r="G163" t="inlineStr">
        <is>
          <t>LAHOLM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45695</v>
      </c>
      <c r="E164" s="1" t="n">
        <v>46262</v>
      </c>
      <c r="F164" t="inlineStr">
        <is>
          <t>HALLANDS LÄN</t>
        </is>
      </c>
      <c r="G164" t="inlineStr">
        <is>
          <t>LAHOLM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46262</v>
      </c>
      <c r="F165" t="inlineStr">
        <is>
          <t>HALLANDS LÄN</t>
        </is>
      </c>
      <c r="G165" t="inlineStr">
        <is>
          <t>LAHOLM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46262</v>
      </c>
      <c r="F166" t="inlineStr">
        <is>
          <t>HALLANDS LÄN</t>
        </is>
      </c>
      <c r="G166" t="inlineStr">
        <is>
          <t>LAHOLM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45096</v>
      </c>
      <c r="E167" s="1" t="n">
        <v>46262</v>
      </c>
      <c r="F167" t="inlineStr">
        <is>
          <t>HALLANDS LÄN</t>
        </is>
      </c>
      <c r="G167" t="inlineStr">
        <is>
          <t>LAHOLM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39903-2023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45168</v>
      </c>
      <c r="E168" s="1" t="n">
        <v>46262</v>
      </c>
      <c r="F168" t="inlineStr">
        <is>
          <t>HALLANDS LÄN</t>
        </is>
      </c>
      <c r="G168" t="inlineStr">
        <is>
          <t>LAHOLM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63674-2023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46262</v>
      </c>
      <c r="F169" t="inlineStr">
        <is>
          <t>HALLANDS LÄN</t>
        </is>
      </c>
      <c r="G169" t="inlineStr">
        <is>
          <t>LAHOLM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40481-2023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46262</v>
      </c>
      <c r="F170" t="inlineStr">
        <is>
          <t>HALLANDS LÄN</t>
        </is>
      </c>
      <c r="G170" t="inlineStr">
        <is>
          <t>LAHOLM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46262</v>
      </c>
      <c r="F171" t="inlineStr">
        <is>
          <t>HALLANDS LÄN</t>
        </is>
      </c>
      <c r="G171" t="inlineStr">
        <is>
          <t>LAHOLM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46262</v>
      </c>
      <c r="F172" t="inlineStr">
        <is>
          <t>HALLANDS LÄN</t>
        </is>
      </c>
      <c r="G172" t="inlineStr">
        <is>
          <t>LAHOLM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45485</v>
      </c>
      <c r="E173" s="1" t="n">
        <v>46262</v>
      </c>
      <c r="F173" t="inlineStr">
        <is>
          <t>HALLANDS LÄN</t>
        </is>
      </c>
      <c r="G173" t="inlineStr">
        <is>
          <t>LAHOLM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46262</v>
      </c>
      <c r="F174" t="inlineStr">
        <is>
          <t>HALLANDS LÄN</t>
        </is>
      </c>
      <c r="G174" t="inlineStr">
        <is>
          <t>LAHOLM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46262</v>
      </c>
      <c r="F175" t="inlineStr">
        <is>
          <t>HALLANDS LÄN</t>
        </is>
      </c>
      <c r="G175" t="inlineStr">
        <is>
          <t>LAHOLM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46262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44951</v>
      </c>
      <c r="E177" s="1" t="n">
        <v>46262</v>
      </c>
      <c r="F177" t="inlineStr">
        <is>
          <t>HALLANDS LÄN</t>
        </is>
      </c>
      <c r="G177" t="inlineStr">
        <is>
          <t>LAHOLM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46317-2021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44442</v>
      </c>
      <c r="E178" s="1" t="n">
        <v>46262</v>
      </c>
      <c r="F178" t="inlineStr">
        <is>
          <t>HALLANDS LÄN</t>
        </is>
      </c>
      <c r="G178" t="inlineStr">
        <is>
          <t>LAHOLM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46262</v>
      </c>
      <c r="F179" t="inlineStr">
        <is>
          <t>HALLANDS LÄN</t>
        </is>
      </c>
      <c r="G179" t="inlineStr">
        <is>
          <t>LAHOLM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46262</v>
      </c>
      <c r="F180" t="inlineStr">
        <is>
          <t>HALLANDS LÄN</t>
        </is>
      </c>
      <c r="G180" t="inlineStr">
        <is>
          <t>LAHOLM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44645</v>
      </c>
      <c r="E181" s="1" t="n">
        <v>46262</v>
      </c>
      <c r="F181" t="inlineStr">
        <is>
          <t>HALLANDS LÄN</t>
        </is>
      </c>
      <c r="G181" t="inlineStr">
        <is>
          <t>LAHOLM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45751</v>
      </c>
      <c r="E182" s="1" t="n">
        <v>46262</v>
      </c>
      <c r="F182" t="inlineStr">
        <is>
          <t>HALLANDS LÄN</t>
        </is>
      </c>
      <c r="G182" t="inlineStr">
        <is>
          <t>LAHOLM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57320-2021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44483</v>
      </c>
      <c r="E183" s="1" t="n">
        <v>46262</v>
      </c>
      <c r="F183" t="inlineStr">
        <is>
          <t>HALLANDS LÄN</t>
        </is>
      </c>
      <c r="G183" t="inlineStr">
        <is>
          <t>LAHOLM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73894-2021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44553</v>
      </c>
      <c r="E184" s="1" t="n">
        <v>46262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44880</v>
      </c>
      <c r="E185" s="1" t="n">
        <v>46262</v>
      </c>
      <c r="F185" t="inlineStr">
        <is>
          <t>HALLANDS LÄN</t>
        </is>
      </c>
      <c r="G185" t="inlineStr">
        <is>
          <t>LAHOLM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46262</v>
      </c>
      <c r="F186" t="inlineStr">
        <is>
          <t>HALLANDS LÄN</t>
        </is>
      </c>
      <c r="G186" t="inlineStr">
        <is>
          <t>LAHOLM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28800-2023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46262</v>
      </c>
      <c r="F187" t="inlineStr">
        <is>
          <t>HALLANDS LÄN</t>
        </is>
      </c>
      <c r="G187" t="inlineStr">
        <is>
          <t>LAHOLM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46262</v>
      </c>
      <c r="F188" t="inlineStr">
        <is>
          <t>HALLANDS LÄN</t>
        </is>
      </c>
      <c r="G188" t="inlineStr">
        <is>
          <t>LAHOLM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46262</v>
      </c>
      <c r="F189" t="inlineStr">
        <is>
          <t>HALLANDS LÄN</t>
        </is>
      </c>
      <c r="G189" t="inlineStr">
        <is>
          <t>LAHOLM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23160-2024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45450</v>
      </c>
      <c r="E190" s="1" t="n">
        <v>46262</v>
      </c>
      <c r="F190" t="inlineStr">
        <is>
          <t>HALLANDS LÄN</t>
        </is>
      </c>
      <c r="G190" t="inlineStr">
        <is>
          <t>LAHOLM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46262</v>
      </c>
      <c r="F191" t="inlineStr">
        <is>
          <t>HALLANDS LÄN</t>
        </is>
      </c>
      <c r="G191" t="inlineStr">
        <is>
          <t>LAHOLM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65916-2021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46262</v>
      </c>
      <c r="F192" t="inlineStr">
        <is>
          <t>HALLANDS LÄN</t>
        </is>
      </c>
      <c r="G192" t="inlineStr">
        <is>
          <t>LAHOLM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46262</v>
      </c>
      <c r="F193" t="inlineStr">
        <is>
          <t>HALLANDS LÄN</t>
        </is>
      </c>
      <c r="G193" t="inlineStr">
        <is>
          <t>LAHOLM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46262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46262</v>
      </c>
      <c r="F195" t="inlineStr">
        <is>
          <t>HALLANDS LÄN</t>
        </is>
      </c>
      <c r="G195" t="inlineStr">
        <is>
          <t>LAHOLM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46262</v>
      </c>
      <c r="F196" t="inlineStr">
        <is>
          <t>HALLANDS LÄN</t>
        </is>
      </c>
      <c r="G196" t="inlineStr">
        <is>
          <t>LAHOLM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44909</v>
      </c>
      <c r="E197" s="1" t="n">
        <v>46262</v>
      </c>
      <c r="F197" t="inlineStr">
        <is>
          <t>HALLANDS LÄN</t>
        </is>
      </c>
      <c r="G197" t="inlineStr">
        <is>
          <t>LAHOLM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45363</v>
      </c>
      <c r="E198" s="1" t="n">
        <v>46262</v>
      </c>
      <c r="F198" t="inlineStr">
        <is>
          <t>HALLANDS LÄN</t>
        </is>
      </c>
      <c r="G198" t="inlineStr">
        <is>
          <t>LAHOLM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46262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46262</v>
      </c>
      <c r="F200" t="inlineStr">
        <is>
          <t>HALLANDS LÄN</t>
        </is>
      </c>
      <c r="G200" t="inlineStr">
        <is>
          <t>LAHOLM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22253-2023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46262</v>
      </c>
      <c r="F201" t="inlineStr">
        <is>
          <t>HALLANDS LÄN</t>
        </is>
      </c>
      <c r="G201" t="inlineStr">
        <is>
          <t>LAHOLM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46262</v>
      </c>
      <c r="F202" t="inlineStr">
        <is>
          <t>HALLANDS LÄN</t>
        </is>
      </c>
      <c r="G202" t="inlineStr">
        <is>
          <t>LAHOLM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45693</v>
      </c>
      <c r="E203" s="1" t="n">
        <v>46262</v>
      </c>
      <c r="F203" t="inlineStr">
        <is>
          <t>HALLANDS LÄN</t>
        </is>
      </c>
      <c r="G203" t="inlineStr">
        <is>
          <t>LAHOLM</t>
        </is>
      </c>
      <c r="H203" t="inlineStr">
        <is>
          <t>Naturvårdsverket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46262</v>
      </c>
      <c r="F204" t="inlineStr">
        <is>
          <t>HALLANDS LÄN</t>
        </is>
      </c>
      <c r="G204" t="inlineStr">
        <is>
          <t>LAHOLM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37672-2022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46262</v>
      </c>
      <c r="F205" t="inlineStr">
        <is>
          <t>HALLANDS LÄN</t>
        </is>
      </c>
      <c r="G205" t="inlineStr">
        <is>
          <t>LAHOLM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37705-2022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46262</v>
      </c>
      <c r="F206" t="inlineStr">
        <is>
          <t>HALLANDS LÄN</t>
        </is>
      </c>
      <c r="G206" t="inlineStr">
        <is>
          <t>LAHOLM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44908</v>
      </c>
      <c r="E207" s="1" t="n">
        <v>46262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46262</v>
      </c>
      <c r="F208" t="inlineStr">
        <is>
          <t>HALLANDS LÄN</t>
        </is>
      </c>
      <c r="G208" t="inlineStr">
        <is>
          <t>LAHOLM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44949</v>
      </c>
      <c r="E209" s="1" t="n">
        <v>46262</v>
      </c>
      <c r="F209" t="inlineStr">
        <is>
          <t>HALLANDS LÄN</t>
        </is>
      </c>
      <c r="G209" t="inlineStr">
        <is>
          <t>LAHOLM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44753</v>
      </c>
      <c r="E210" s="1" t="n">
        <v>46262</v>
      </c>
      <c r="F210" t="inlineStr">
        <is>
          <t>HALLANDS LÄN</t>
        </is>
      </c>
      <c r="G210" t="inlineStr">
        <is>
          <t>LAHOLM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46262</v>
      </c>
      <c r="F211" t="inlineStr">
        <is>
          <t>HALLANDS LÄN</t>
        </is>
      </c>
      <c r="G211" t="inlineStr">
        <is>
          <t>LAHOLM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45440</v>
      </c>
      <c r="E212" s="1" t="n">
        <v>46262</v>
      </c>
      <c r="F212" t="inlineStr">
        <is>
          <t>HALLANDS LÄN</t>
        </is>
      </c>
      <c r="G212" t="inlineStr">
        <is>
          <t>LAHOLM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46262</v>
      </c>
      <c r="F213" t="inlineStr">
        <is>
          <t>HALLANDS LÄN</t>
        </is>
      </c>
      <c r="G213" t="inlineStr">
        <is>
          <t>LAHOLM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46262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46262</v>
      </c>
      <c r="F215" t="inlineStr">
        <is>
          <t>HALLANDS LÄN</t>
        </is>
      </c>
      <c r="G215" t="inlineStr">
        <is>
          <t>LAHOLM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45071</v>
      </c>
      <c r="E216" s="1" t="n">
        <v>46262</v>
      </c>
      <c r="F216" t="inlineStr">
        <is>
          <t>HALLANDS LÄN</t>
        </is>
      </c>
      <c r="G216" t="inlineStr">
        <is>
          <t>LAHOLM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46262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46262</v>
      </c>
      <c r="F218" t="inlineStr">
        <is>
          <t>HALLANDS LÄN</t>
        </is>
      </c>
      <c r="G218" t="inlineStr">
        <is>
          <t>LAHOLM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44929</v>
      </c>
      <c r="E219" s="1" t="n">
        <v>46262</v>
      </c>
      <c r="F219" t="inlineStr">
        <is>
          <t>HALLANDS LÄN</t>
        </is>
      </c>
      <c r="G219" t="inlineStr">
        <is>
          <t>LAHOLM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45020</v>
      </c>
      <c r="E220" s="1" t="n">
        <v>46262</v>
      </c>
      <c r="F220" t="inlineStr">
        <is>
          <t>HALLANDS LÄN</t>
        </is>
      </c>
      <c r="G220" t="inlineStr">
        <is>
          <t>LAHOLM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45670</v>
      </c>
      <c r="E221" s="1" t="n">
        <v>46262</v>
      </c>
      <c r="F221" t="inlineStr">
        <is>
          <t>HALLANDS LÄN</t>
        </is>
      </c>
      <c r="G221" t="inlineStr">
        <is>
          <t>LAHOLM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63003-2025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46009</v>
      </c>
      <c r="E222" s="1" t="n">
        <v>46262</v>
      </c>
      <c r="F222" t="inlineStr">
        <is>
          <t>HALLANDS LÄN</t>
        </is>
      </c>
      <c r="G222" t="inlineStr">
        <is>
          <t>LAHOLM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46009</v>
      </c>
      <c r="E223" s="1" t="n">
        <v>46262</v>
      </c>
      <c r="F223" t="inlineStr">
        <is>
          <t>HALLANDS LÄN</t>
        </is>
      </c>
      <c r="G223" t="inlineStr">
        <is>
          <t>LAHOLM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45603</v>
      </c>
      <c r="E224" s="1" t="n">
        <v>46262</v>
      </c>
      <c r="F224" t="inlineStr">
        <is>
          <t>HALLANDS LÄN</t>
        </is>
      </c>
      <c r="G224" t="inlineStr">
        <is>
          <t>LAHOLM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46262</v>
      </c>
      <c r="F225" t="inlineStr">
        <is>
          <t>HALLANDS LÄN</t>
        </is>
      </c>
      <c r="G225" t="inlineStr">
        <is>
          <t>LAHOLM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46262</v>
      </c>
      <c r="F226" t="inlineStr">
        <is>
          <t>HALLANDS LÄN</t>
        </is>
      </c>
      <c r="G226" t="inlineStr">
        <is>
          <t>LAHOLM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44600</v>
      </c>
      <c r="E227" s="1" t="n">
        <v>46262</v>
      </c>
      <c r="F227" t="inlineStr">
        <is>
          <t>HALLANDS LÄN</t>
        </is>
      </c>
      <c r="G227" t="inlineStr">
        <is>
          <t>LAHOLM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46262</v>
      </c>
      <c r="F228" t="inlineStr">
        <is>
          <t>HALLANDS LÄN</t>
        </is>
      </c>
      <c r="G228" t="inlineStr">
        <is>
          <t>LAHOLM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46262</v>
      </c>
      <c r="F229" t="inlineStr">
        <is>
          <t>HALLANDS LÄN</t>
        </is>
      </c>
      <c r="G229" t="inlineStr">
        <is>
          <t>LAHOLM</t>
        </is>
      </c>
      <c r="H229" t="inlineStr">
        <is>
          <t>Sveaskog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45553</v>
      </c>
      <c r="E230" s="1" t="n">
        <v>46262</v>
      </c>
      <c r="F230" t="inlineStr">
        <is>
          <t>HALLANDS LÄN</t>
        </is>
      </c>
      <c r="G230" t="inlineStr">
        <is>
          <t>LAHOLM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46262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7019-2022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44603</v>
      </c>
      <c r="E232" s="1" t="n">
        <v>46262</v>
      </c>
      <c r="F232" t="inlineStr">
        <is>
          <t>HALLANDS LÄN</t>
        </is>
      </c>
      <c r="G232" t="inlineStr">
        <is>
          <t>LAHOLM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46262</v>
      </c>
      <c r="F233" t="inlineStr">
        <is>
          <t>HALLANDS LÄN</t>
        </is>
      </c>
      <c r="G233" t="inlineStr">
        <is>
          <t>LAHOLM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46262</v>
      </c>
      <c r="F234" t="inlineStr">
        <is>
          <t>HALLANDS LÄN</t>
        </is>
      </c>
      <c r="G234" t="inlineStr">
        <is>
          <t>LAHOLM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42312-2024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46262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3022-2026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46038</v>
      </c>
      <c r="E236" s="1" t="n">
        <v>46262</v>
      </c>
      <c r="F236" t="inlineStr">
        <is>
          <t>HALLANDS LÄN</t>
        </is>
      </c>
      <c r="G236" t="inlineStr">
        <is>
          <t>LAHOLM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46262</v>
      </c>
      <c r="F237" t="inlineStr">
        <is>
          <t>HALLANDS LÄN</t>
        </is>
      </c>
      <c r="G237" t="inlineStr">
        <is>
          <t>LAHOLM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46262</v>
      </c>
      <c r="F238" t="inlineStr">
        <is>
          <t>HALLANDS LÄN</t>
        </is>
      </c>
      <c r="G238" t="inlineStr">
        <is>
          <t>LAHOLM</t>
        </is>
      </c>
      <c r="I238" t="n">
        <v>6.8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46262</v>
      </c>
      <c r="F239" t="inlineStr">
        <is>
          <t>HALLANDS LÄN</t>
        </is>
      </c>
      <c r="G239" t="inlineStr">
        <is>
          <t>LAHOLM</t>
        </is>
      </c>
      <c r="H239" t="inlineStr">
        <is>
          <t>Kommuner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44882</v>
      </c>
      <c r="E240" s="1" t="n">
        <v>46262</v>
      </c>
      <c r="F240" t="inlineStr">
        <is>
          <t>HALLANDS LÄN</t>
        </is>
      </c>
      <c r="G240" t="inlineStr">
        <is>
          <t>LAHOLM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46262</v>
      </c>
      <c r="F241" t="inlineStr">
        <is>
          <t>HALLANDS LÄN</t>
        </is>
      </c>
      <c r="G241" t="inlineStr">
        <is>
          <t>LAHOLM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46262</v>
      </c>
      <c r="F242" t="inlineStr">
        <is>
          <t>HALLANDS LÄN</t>
        </is>
      </c>
      <c r="G242" t="inlineStr">
        <is>
          <t>LAHOLM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46262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46262</v>
      </c>
      <c r="F244" t="inlineStr">
        <is>
          <t>HALLANDS LÄN</t>
        </is>
      </c>
      <c r="G244" t="inlineStr">
        <is>
          <t>LAHOLM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46052</v>
      </c>
      <c r="E245" s="1" t="n">
        <v>46262</v>
      </c>
      <c r="F245" t="inlineStr">
        <is>
          <t>HALLANDS LÄN</t>
        </is>
      </c>
      <c r="G245" t="inlineStr">
        <is>
          <t>LAHOLM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33329-2025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46262</v>
      </c>
      <c r="F246" t="inlineStr">
        <is>
          <t>HALLANDS LÄN</t>
        </is>
      </c>
      <c r="G246" t="inlineStr">
        <is>
          <t>LAHOLM</t>
        </is>
      </c>
      <c r="I246" t="n">
        <v>9.199999999999999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46262</v>
      </c>
      <c r="F247" t="inlineStr">
        <is>
          <t>HALLANDS LÄN</t>
        </is>
      </c>
      <c r="G247" t="inlineStr">
        <is>
          <t>LAHOLM</t>
        </is>
      </c>
      <c r="H247" t="inlineStr">
        <is>
          <t>Kyrkan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46262</v>
      </c>
      <c r="F248" t="inlineStr">
        <is>
          <t>HALLANDS LÄN</t>
        </is>
      </c>
      <c r="G248" t="inlineStr">
        <is>
          <t>LAHOLM</t>
        </is>
      </c>
      <c r="H248" t="inlineStr">
        <is>
          <t>Kyrkan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46262</v>
      </c>
      <c r="F249" t="inlineStr">
        <is>
          <t>HALLANDS LÄN</t>
        </is>
      </c>
      <c r="G249" t="inlineStr">
        <is>
          <t>LAHOLM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46262</v>
      </c>
      <c r="F250" t="inlineStr">
        <is>
          <t>HALLANDS LÄN</t>
        </is>
      </c>
      <c r="G250" t="inlineStr">
        <is>
          <t>LAHOLM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45707</v>
      </c>
      <c r="E251" s="1" t="n">
        <v>46262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46262</v>
      </c>
      <c r="F252" t="inlineStr">
        <is>
          <t>HALLANDS LÄN</t>
        </is>
      </c>
      <c r="G252" t="inlineStr">
        <is>
          <t>LAHOLM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54802-2022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46262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45206</v>
      </c>
      <c r="E254" s="1" t="n">
        <v>46262</v>
      </c>
      <c r="F254" t="inlineStr">
        <is>
          <t>HALLANDS LÄN</t>
        </is>
      </c>
      <c r="G254" t="inlineStr">
        <is>
          <t>LAHOLM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46262</v>
      </c>
      <c r="F255" t="inlineStr">
        <is>
          <t>HALLANDS LÄN</t>
        </is>
      </c>
      <c r="G255" t="inlineStr">
        <is>
          <t>LAHOLM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46078</v>
      </c>
      <c r="E256" s="1" t="n">
        <v>46262</v>
      </c>
      <c r="F256" t="inlineStr">
        <is>
          <t>HALLANDS LÄN</t>
        </is>
      </c>
      <c r="G256" t="inlineStr">
        <is>
          <t>LAHOLM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46262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46262</v>
      </c>
      <c r="F258" t="inlineStr">
        <is>
          <t>HALLANDS LÄN</t>
        </is>
      </c>
      <c r="G258" t="inlineStr">
        <is>
          <t>LAHOLM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46262</v>
      </c>
      <c r="F259" t="inlineStr">
        <is>
          <t>HALLANDS LÄN</t>
        </is>
      </c>
      <c r="G259" t="inlineStr">
        <is>
          <t>LAHOLM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46262</v>
      </c>
      <c r="F260" t="inlineStr">
        <is>
          <t>HALLANDS LÄN</t>
        </is>
      </c>
      <c r="G260" t="inlineStr">
        <is>
          <t>LAHOLM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45426</v>
      </c>
      <c r="E261" s="1" t="n">
        <v>46262</v>
      </c>
      <c r="F261" t="inlineStr">
        <is>
          <t>HALLANDS LÄN</t>
        </is>
      </c>
      <c r="G261" t="inlineStr">
        <is>
          <t>LAHOLM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46262</v>
      </c>
      <c r="F262" t="inlineStr">
        <is>
          <t>HALLANDS LÄN</t>
        </is>
      </c>
      <c r="G262" t="inlineStr">
        <is>
          <t>LAHOLM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45994</v>
      </c>
      <c r="E263" s="1" t="n">
        <v>46262</v>
      </c>
      <c r="F263" t="inlineStr">
        <is>
          <t>HALLANDS LÄN</t>
        </is>
      </c>
      <c r="G263" t="inlineStr">
        <is>
          <t>LAHOLM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46262</v>
      </c>
      <c r="F264" t="inlineStr">
        <is>
          <t>HALLANDS LÄN</t>
        </is>
      </c>
      <c r="G264" t="inlineStr">
        <is>
          <t>LAHOLM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12788-2026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46091</v>
      </c>
      <c r="E265" s="1" t="n">
        <v>46262</v>
      </c>
      <c r="F265" t="inlineStr">
        <is>
          <t>HALLANDS LÄN</t>
        </is>
      </c>
      <c r="G265" t="inlineStr">
        <is>
          <t>LAHOLM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61711-2021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44501</v>
      </c>
      <c r="E266" s="1" t="n">
        <v>46262</v>
      </c>
      <c r="F266" t="inlineStr">
        <is>
          <t>HALLANDS LÄN</t>
        </is>
      </c>
      <c r="G266" t="inlineStr">
        <is>
          <t>LAHOLM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46262</v>
      </c>
      <c r="F267" t="inlineStr">
        <is>
          <t>HALLANDS LÄN</t>
        </is>
      </c>
      <c r="G267" t="inlineStr">
        <is>
          <t>LAHOLM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13042-2026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46262</v>
      </c>
      <c r="F268" t="inlineStr">
        <is>
          <t>HALLANDS LÄN</t>
        </is>
      </c>
      <c r="G268" t="inlineStr">
        <is>
          <t>LAHOLM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23242-2024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46262</v>
      </c>
      <c r="F269" t="inlineStr">
        <is>
          <t>HALLANDS LÄN</t>
        </is>
      </c>
      <c r="G269" t="inlineStr">
        <is>
          <t>LAHOLM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13998-2026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46098</v>
      </c>
      <c r="E270" s="1" t="n">
        <v>46262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46262</v>
      </c>
      <c r="F271" t="inlineStr">
        <is>
          <t>HALLANDS LÄN</t>
        </is>
      </c>
      <c r="G271" t="inlineStr">
        <is>
          <t>LAHOLM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46262</v>
      </c>
      <c r="F272" t="inlineStr">
        <is>
          <t>HALLANDS LÄN</t>
        </is>
      </c>
      <c r="G272" t="inlineStr">
        <is>
          <t>LAHOLM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46262</v>
      </c>
      <c r="F273" t="inlineStr">
        <is>
          <t>HALLANDS LÄN</t>
        </is>
      </c>
      <c r="G273" t="inlineStr">
        <is>
          <t>LAHOLM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45327</v>
      </c>
      <c r="E274" s="1" t="n">
        <v>46262</v>
      </c>
      <c r="F274" t="inlineStr">
        <is>
          <t>HALLANDS LÄN</t>
        </is>
      </c>
      <c r="G274" t="inlineStr">
        <is>
          <t>LAHOLM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46262</v>
      </c>
      <c r="F275" t="inlineStr">
        <is>
          <t>HALLANDS LÄN</t>
        </is>
      </c>
      <c r="G275" t="inlineStr">
        <is>
          <t>LAHOLM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45582</v>
      </c>
      <c r="E276" s="1" t="n">
        <v>46262</v>
      </c>
      <c r="F276" t="inlineStr">
        <is>
          <t>HALLANDS LÄN</t>
        </is>
      </c>
      <c r="G276" t="inlineStr">
        <is>
          <t>LAHOLM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45625</v>
      </c>
      <c r="E277" s="1" t="n">
        <v>46262</v>
      </c>
      <c r="F277" t="inlineStr">
        <is>
          <t>HALLANDS LÄN</t>
        </is>
      </c>
      <c r="G277" t="inlineStr">
        <is>
          <t>LAHOLM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39465-2023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45166</v>
      </c>
      <c r="E278" s="1" t="n">
        <v>46262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16193-2026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46262</v>
      </c>
      <c r="F279" t="inlineStr">
        <is>
          <t>HALLANDS LÄN</t>
        </is>
      </c>
      <c r="G279" t="inlineStr">
        <is>
          <t>LAHOLM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44600</v>
      </c>
      <c r="E280" s="1" t="n">
        <v>46262</v>
      </c>
      <c r="F280" t="inlineStr">
        <is>
          <t>HALLANDS LÄN</t>
        </is>
      </c>
      <c r="G280" t="inlineStr">
        <is>
          <t>LAHOLM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45658</v>
      </c>
      <c r="E281" s="1" t="n">
        <v>46262</v>
      </c>
      <c r="F281" t="inlineStr">
        <is>
          <t>HALLANDS LÄN</t>
        </is>
      </c>
      <c r="G281" t="inlineStr">
        <is>
          <t>LAHOLM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46262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44930</v>
      </c>
      <c r="E283" s="1" t="n">
        <v>46262</v>
      </c>
      <c r="F283" t="inlineStr">
        <is>
          <t>HALLANDS LÄN</t>
        </is>
      </c>
      <c r="G283" t="inlineStr">
        <is>
          <t>LAHOLM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45327</v>
      </c>
      <c r="E284" s="1" t="n">
        <v>46262</v>
      </c>
      <c r="F284" t="inlineStr">
        <is>
          <t>HALLANDS LÄN</t>
        </is>
      </c>
      <c r="G284" t="inlineStr">
        <is>
          <t>LAHOLM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46262</v>
      </c>
      <c r="F285" t="inlineStr">
        <is>
          <t>HALLANDS LÄN</t>
        </is>
      </c>
      <c r="G285" t="inlineStr">
        <is>
          <t>LAHOLM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46262</v>
      </c>
      <c r="F286" t="inlineStr">
        <is>
          <t>HALLANDS LÄN</t>
        </is>
      </c>
      <c r="G286" t="inlineStr">
        <is>
          <t>LAHOLM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46262</v>
      </c>
      <c r="F287" t="inlineStr">
        <is>
          <t>HALLANDS LÄN</t>
        </is>
      </c>
      <c r="G287" t="inlineStr">
        <is>
          <t>LAHOLM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45020</v>
      </c>
      <c r="E288" s="1" t="n">
        <v>46262</v>
      </c>
      <c r="F288" t="inlineStr">
        <is>
          <t>HALLANDS LÄN</t>
        </is>
      </c>
      <c r="G288" t="inlineStr">
        <is>
          <t>LAHOLM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19139-2025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45769</v>
      </c>
      <c r="E289" s="1" t="n">
        <v>46262</v>
      </c>
      <c r="F289" t="inlineStr">
        <is>
          <t>HALLANDS LÄN</t>
        </is>
      </c>
      <c r="G289" t="inlineStr">
        <is>
          <t>LAHOLM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45377</v>
      </c>
      <c r="E290" s="1" t="n">
        <v>46262</v>
      </c>
      <c r="F290" t="inlineStr">
        <is>
          <t>HALLANDS LÄN</t>
        </is>
      </c>
      <c r="G290" t="inlineStr">
        <is>
          <t>LAHOLM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30796-2022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44764</v>
      </c>
      <c r="E291" s="1" t="n">
        <v>46262</v>
      </c>
      <c r="F291" t="inlineStr">
        <is>
          <t>HALLANDS LÄN</t>
        </is>
      </c>
      <c r="G291" t="inlineStr">
        <is>
          <t>LAHOLM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46262</v>
      </c>
      <c r="F292" t="inlineStr">
        <is>
          <t>HALLANDS LÄN</t>
        </is>
      </c>
      <c r="G292" t="inlineStr">
        <is>
          <t>LAHOLM</t>
        </is>
      </c>
      <c r="H292" t="inlineStr">
        <is>
          <t>Sveaskog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46135</v>
      </c>
      <c r="E293" s="1" t="n">
        <v>46262</v>
      </c>
      <c r="F293" t="inlineStr">
        <is>
          <t>HALLANDS LÄN</t>
        </is>
      </c>
      <c r="G293" t="inlineStr">
        <is>
          <t>LAHOLM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46134</v>
      </c>
      <c r="E294" s="1" t="n">
        <v>46262</v>
      </c>
      <c r="F294" t="inlineStr">
        <is>
          <t>HALLANDS LÄN</t>
        </is>
      </c>
      <c r="G294" t="inlineStr">
        <is>
          <t>LAHOLM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45131</v>
      </c>
      <c r="E295" s="1" t="n">
        <v>46262</v>
      </c>
      <c r="F295" t="inlineStr">
        <is>
          <t>HALLANDS LÄN</t>
        </is>
      </c>
      <c r="G295" t="inlineStr">
        <is>
          <t>LAHOLM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58558-2022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44902</v>
      </c>
      <c r="E296" s="1" t="n">
        <v>46262</v>
      </c>
      <c r="F296" t="inlineStr">
        <is>
          <t>HALLANDS LÄN</t>
        </is>
      </c>
      <c r="G296" t="inlineStr">
        <is>
          <t>LAHOLM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45035</v>
      </c>
      <c r="E297" s="1" t="n">
        <v>46262</v>
      </c>
      <c r="F297" t="inlineStr">
        <is>
          <t>HALLANDS LÄN</t>
        </is>
      </c>
      <c r="G297" t="inlineStr">
        <is>
          <t>LAHOLM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46262</v>
      </c>
      <c r="F298" t="inlineStr">
        <is>
          <t>HALLANDS LÄN</t>
        </is>
      </c>
      <c r="G298" t="inlineStr">
        <is>
          <t>LAHOLM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46262</v>
      </c>
      <c r="F299" t="inlineStr">
        <is>
          <t>HALLANDS LÄN</t>
        </is>
      </c>
      <c r="G299" t="inlineStr">
        <is>
          <t>LAHOLM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16175-2023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45027</v>
      </c>
      <c r="E300" s="1" t="n">
        <v>46262</v>
      </c>
      <c r="F300" t="inlineStr">
        <is>
          <t>HALLANDS LÄN</t>
        </is>
      </c>
      <c r="G300" t="inlineStr">
        <is>
          <t>LAHOLM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45320</v>
      </c>
      <c r="E301" s="1" t="n">
        <v>46262</v>
      </c>
      <c r="F301" t="inlineStr">
        <is>
          <t>HALLANDS LÄN</t>
        </is>
      </c>
      <c r="G301" t="inlineStr">
        <is>
          <t>LAHOLM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55135-2023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45230</v>
      </c>
      <c r="E302" s="1" t="n">
        <v>46262</v>
      </c>
      <c r="F302" t="inlineStr">
        <is>
          <t>HALLANDS LÄN</t>
        </is>
      </c>
      <c r="G302" t="inlineStr">
        <is>
          <t>LAHOLM</t>
        </is>
      </c>
      <c r="H302" t="inlineStr">
        <is>
          <t>Övriga statliga verk och myndigheter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45179</v>
      </c>
      <c r="E303" s="1" t="n">
        <v>46262</v>
      </c>
      <c r="F303" t="inlineStr">
        <is>
          <t>HALLANDS LÄN</t>
        </is>
      </c>
      <c r="G303" t="inlineStr">
        <is>
          <t>LAHOLM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46262</v>
      </c>
      <c r="F304" t="inlineStr">
        <is>
          <t>HALLANDS LÄN</t>
        </is>
      </c>
      <c r="G304" t="inlineStr">
        <is>
          <t>LAHOLM</t>
        </is>
      </c>
      <c r="I304" t="n">
        <v>7.8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46262</v>
      </c>
      <c r="F305" t="inlineStr">
        <is>
          <t>HALLANDS LÄN</t>
        </is>
      </c>
      <c r="G305" t="inlineStr">
        <is>
          <t>LAHOLM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45680</v>
      </c>
      <c r="E306" s="1" t="n">
        <v>46262</v>
      </c>
      <c r="F306" t="inlineStr">
        <is>
          <t>HALLANDS LÄN</t>
        </is>
      </c>
      <c r="G306" t="inlineStr">
        <is>
          <t>LAHOLM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46262</v>
      </c>
      <c r="F307" t="inlineStr">
        <is>
          <t>HALLANDS LÄN</t>
        </is>
      </c>
      <c r="G307" t="inlineStr">
        <is>
          <t>LAHOLM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45688</v>
      </c>
      <c r="E308" s="1" t="n">
        <v>46262</v>
      </c>
      <c r="F308" t="inlineStr">
        <is>
          <t>HALLANDS LÄN</t>
        </is>
      </c>
      <c r="G308" t="inlineStr">
        <is>
          <t>LAHOLM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45327</v>
      </c>
      <c r="E309" s="1" t="n">
        <v>46262</v>
      </c>
      <c r="F309" t="inlineStr">
        <is>
          <t>HALLANDS LÄN</t>
        </is>
      </c>
      <c r="G309" t="inlineStr">
        <is>
          <t>LAHOLM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42562-2022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44831</v>
      </c>
      <c r="E310" s="1" t="n">
        <v>46262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46262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45812</v>
      </c>
      <c r="E312" s="1" t="n">
        <v>46262</v>
      </c>
      <c r="F312" t="inlineStr">
        <is>
          <t>HALLANDS LÄN</t>
        </is>
      </c>
      <c r="G312" t="inlineStr">
        <is>
          <t>LAHOLM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56903-2024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45628</v>
      </c>
      <c r="E313" s="1" t="n">
        <v>46262</v>
      </c>
      <c r="F313" t="inlineStr">
        <is>
          <t>HALLANDS LÄN</t>
        </is>
      </c>
      <c r="G313" t="inlineStr">
        <is>
          <t>LAHOLM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64566-2021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44511</v>
      </c>
      <c r="E314" s="1" t="n">
        <v>46262</v>
      </c>
      <c r="F314" t="inlineStr">
        <is>
          <t>HALLANDS LÄN</t>
        </is>
      </c>
      <c r="G314" t="inlineStr">
        <is>
          <t>LAHOLM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45035</v>
      </c>
      <c r="E315" s="1" t="n">
        <v>46262</v>
      </c>
      <c r="F315" t="inlineStr">
        <is>
          <t>HALLANDS LÄN</t>
        </is>
      </c>
      <c r="G315" t="inlineStr">
        <is>
          <t>LAHOLM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46262</v>
      </c>
      <c r="F316" t="inlineStr">
        <is>
          <t>HALLANDS LÄN</t>
        </is>
      </c>
      <c r="G316" t="inlineStr">
        <is>
          <t>LAHOLM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46262</v>
      </c>
      <c r="F317" t="inlineStr">
        <is>
          <t>HALLANDS LÄN</t>
        </is>
      </c>
      <c r="G317" t="inlineStr">
        <is>
          <t>LAHOLM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45699</v>
      </c>
      <c r="E318" s="1" t="n">
        <v>46262</v>
      </c>
      <c r="F318" t="inlineStr">
        <is>
          <t>HALLANDS LÄN</t>
        </is>
      </c>
      <c r="G318" t="inlineStr">
        <is>
          <t>LAHOLM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51515-2022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46262</v>
      </c>
      <c r="F319" t="inlineStr">
        <is>
          <t>HALLANDS LÄN</t>
        </is>
      </c>
      <c r="G319" t="inlineStr">
        <is>
          <t>LAHOLM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51517-2022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44869</v>
      </c>
      <c r="E320" s="1" t="n">
        <v>46262</v>
      </c>
      <c r="F320" t="inlineStr">
        <is>
          <t>HALLANDS LÄN</t>
        </is>
      </c>
      <c r="G320" t="inlineStr">
        <is>
          <t>LAHOLM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45002</v>
      </c>
      <c r="E321" s="1" t="n">
        <v>46262</v>
      </c>
      <c r="F321" t="inlineStr">
        <is>
          <t>HALLANDS LÄN</t>
        </is>
      </c>
      <c r="G321" t="inlineStr">
        <is>
          <t>LAHOLM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44873</v>
      </c>
      <c r="E322" s="1" t="n">
        <v>46262</v>
      </c>
      <c r="F322" t="inlineStr">
        <is>
          <t>HALLANDS LÄN</t>
        </is>
      </c>
      <c r="G322" t="inlineStr">
        <is>
          <t>LAHOLM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44895</v>
      </c>
      <c r="E323" s="1" t="n">
        <v>46262</v>
      </c>
      <c r="F323" t="inlineStr">
        <is>
          <t>HALLANDS LÄN</t>
        </is>
      </c>
      <c r="G323" t="inlineStr">
        <is>
          <t>LAHOLM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45299</v>
      </c>
      <c r="E324" s="1" t="n">
        <v>46262</v>
      </c>
      <c r="F324" t="inlineStr">
        <is>
          <t>HALLANDS LÄN</t>
        </is>
      </c>
      <c r="G324" t="inlineStr">
        <is>
          <t>LAHOLM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46262</v>
      </c>
      <c r="F325" t="inlineStr">
        <is>
          <t>HALLANDS LÄN</t>
        </is>
      </c>
      <c r="G325" t="inlineStr">
        <is>
          <t>LAHOLM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46142</v>
      </c>
      <c r="E326" s="1" t="n">
        <v>46262</v>
      </c>
      <c r="F326" t="inlineStr">
        <is>
          <t>HALLANDS LÄN</t>
        </is>
      </c>
      <c r="G326" t="inlineStr">
        <is>
          <t>LAHOLM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51131-2023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46262</v>
      </c>
      <c r="F327" t="inlineStr">
        <is>
          <t>HALLANDS LÄN</t>
        </is>
      </c>
      <c r="G327" t="inlineStr">
        <is>
          <t>LAHOLM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44771</v>
      </c>
      <c r="E328" s="1" t="n">
        <v>46262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52056-2022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44873</v>
      </c>
      <c r="E329" s="1" t="n">
        <v>46262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62134-2022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44922</v>
      </c>
      <c r="E330" s="1" t="n">
        <v>46262</v>
      </c>
      <c r="F330" t="inlineStr">
        <is>
          <t>HALLANDS LÄN</t>
        </is>
      </c>
      <c r="G330" t="inlineStr">
        <is>
          <t>LAHOLM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52168-2021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44463</v>
      </c>
      <c r="E331" s="1" t="n">
        <v>46262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41573-2022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44827</v>
      </c>
      <c r="E332" s="1" t="n">
        <v>46262</v>
      </c>
      <c r="F332" t="inlineStr">
        <is>
          <t>HALLANDS LÄN</t>
        </is>
      </c>
      <c r="G332" t="inlineStr">
        <is>
          <t>LAHOLM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44949</v>
      </c>
      <c r="E333" s="1" t="n">
        <v>46262</v>
      </c>
      <c r="F333" t="inlineStr">
        <is>
          <t>HALLANDS LÄN</t>
        </is>
      </c>
      <c r="G333" t="inlineStr">
        <is>
          <t>LAHOLM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46151</v>
      </c>
      <c r="E334" s="1" t="n">
        <v>46262</v>
      </c>
      <c r="F334" t="inlineStr">
        <is>
          <t>HALLANDS LÄN</t>
        </is>
      </c>
      <c r="G334" t="inlineStr">
        <is>
          <t>LAHOLM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46262</v>
      </c>
      <c r="F335" t="inlineStr">
        <is>
          <t>HALLANDS LÄN</t>
        </is>
      </c>
      <c r="G335" t="inlineStr">
        <is>
          <t>LAHOLM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45171</v>
      </c>
      <c r="E336" s="1" t="n">
        <v>46262</v>
      </c>
      <c r="F336" t="inlineStr">
        <is>
          <t>HALLANDS LÄN</t>
        </is>
      </c>
      <c r="G336" t="inlineStr">
        <is>
          <t>LAHOLM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53128-2021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44467</v>
      </c>
      <c r="E337" s="1" t="n">
        <v>46262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46262</v>
      </c>
      <c r="F338" t="inlineStr">
        <is>
          <t>HALLANDS LÄN</t>
        </is>
      </c>
      <c r="G338" t="inlineStr">
        <is>
          <t>LAHOLM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44572</v>
      </c>
      <c r="E339" s="1" t="n">
        <v>46262</v>
      </c>
      <c r="F339" t="inlineStr">
        <is>
          <t>HALLANDS LÄN</t>
        </is>
      </c>
      <c r="G339" t="inlineStr">
        <is>
          <t>LAHOLM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10084-2024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46262</v>
      </c>
      <c r="F340" t="inlineStr">
        <is>
          <t>HALLANDS LÄN</t>
        </is>
      </c>
      <c r="G340" t="inlineStr">
        <is>
          <t>LAHOLM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52094-2021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44462</v>
      </c>
      <c r="E341" s="1" t="n">
        <v>46262</v>
      </c>
      <c r="F341" t="inlineStr">
        <is>
          <t>HALLANDS LÄN</t>
        </is>
      </c>
      <c r="G341" t="inlineStr">
        <is>
          <t>LAHOLM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46262</v>
      </c>
      <c r="F342" t="inlineStr">
        <is>
          <t>HALLANDS LÄN</t>
        </is>
      </c>
      <c r="G342" t="inlineStr">
        <is>
          <t>LAHOLM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45006</v>
      </c>
      <c r="E343" s="1" t="n">
        <v>46262</v>
      </c>
      <c r="F343" t="inlineStr">
        <is>
          <t>HALLANDS LÄN</t>
        </is>
      </c>
      <c r="G343" t="inlineStr">
        <is>
          <t>LAHOLM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45614</v>
      </c>
      <c r="E344" s="1" t="n">
        <v>46262</v>
      </c>
      <c r="F344" t="inlineStr">
        <is>
          <t>HALLANDS LÄN</t>
        </is>
      </c>
      <c r="G344" t="inlineStr">
        <is>
          <t>LAHOLM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46262</v>
      </c>
      <c r="F345" t="inlineStr">
        <is>
          <t>HALLANDS LÄN</t>
        </is>
      </c>
      <c r="G345" t="inlineStr">
        <is>
          <t>LAHOLM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44594</v>
      </c>
      <c r="E346" s="1" t="n">
        <v>46262</v>
      </c>
      <c r="F346" t="inlineStr">
        <is>
          <t>HALLANDS LÄN</t>
        </is>
      </c>
      <c r="G346" t="inlineStr">
        <is>
          <t>LAHOLM</t>
        </is>
      </c>
      <c r="H346" t="inlineStr">
        <is>
          <t>Kommuner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67861-2021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44525</v>
      </c>
      <c r="E347" s="1" t="n">
        <v>46262</v>
      </c>
      <c r="F347" t="inlineStr">
        <is>
          <t>HALLANDS LÄN</t>
        </is>
      </c>
      <c r="G347" t="inlineStr">
        <is>
          <t>LAHOLM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45195</v>
      </c>
      <c r="E348" s="1" t="n">
        <v>46262</v>
      </c>
      <c r="F348" t="inlineStr">
        <is>
          <t>HALLANDS LÄN</t>
        </is>
      </c>
      <c r="G348" t="inlineStr">
        <is>
          <t>LAHOLM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45320</v>
      </c>
      <c r="E349" s="1" t="n">
        <v>46262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17097-2022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44677</v>
      </c>
      <c r="E350" s="1" t="n">
        <v>46262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55312-2023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46262</v>
      </c>
      <c r="F351" t="inlineStr">
        <is>
          <t>HALLANDS LÄN</t>
        </is>
      </c>
      <c r="G351" t="inlineStr">
        <is>
          <t>LAHOLM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46262</v>
      </c>
      <c r="F352" t="inlineStr">
        <is>
          <t>HALLANDS LÄN</t>
        </is>
      </c>
      <c r="G352" t="inlineStr">
        <is>
          <t>LAHOLM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7783-2024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45349</v>
      </c>
      <c r="E353" s="1" t="n">
        <v>46262</v>
      </c>
      <c r="F353" t="inlineStr">
        <is>
          <t>HALLANDS LÄN</t>
        </is>
      </c>
      <c r="G353" t="inlineStr">
        <is>
          <t>LAHOLM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46262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6268-2022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44600</v>
      </c>
      <c r="E355" s="1" t="n">
        <v>46262</v>
      </c>
      <c r="F355" t="inlineStr">
        <is>
          <t>HALLANDS LÄN</t>
        </is>
      </c>
      <c r="G355" t="inlineStr">
        <is>
          <t>LAHOLM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46262</v>
      </c>
      <c r="F356" t="inlineStr">
        <is>
          <t>HALLANDS LÄN</t>
        </is>
      </c>
      <c r="G356" t="inlineStr">
        <is>
          <t>LAHOLM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46262</v>
      </c>
      <c r="F357" t="inlineStr">
        <is>
          <t>HALLANDS LÄN</t>
        </is>
      </c>
      <c r="G357" t="inlineStr">
        <is>
          <t>LAHOLM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25024-2026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46262</v>
      </c>
      <c r="F358" t="inlineStr">
        <is>
          <t>HALLANDS LÄN</t>
        </is>
      </c>
      <c r="G358" t="inlineStr">
        <is>
          <t>LAHOLM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46262</v>
      </c>
      <c r="F359" t="inlineStr">
        <is>
          <t>HALLANDS LÄN</t>
        </is>
      </c>
      <c r="G359" t="inlineStr">
        <is>
          <t>LAHOLM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25029-2026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46262</v>
      </c>
      <c r="F360" t="inlineStr">
        <is>
          <t>HALLANDS LÄN</t>
        </is>
      </c>
      <c r="G360" t="inlineStr">
        <is>
          <t>LAHOLM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25026-2026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46262</v>
      </c>
      <c r="F361" t="inlineStr">
        <is>
          <t>HALLANDS LÄN</t>
        </is>
      </c>
      <c r="G361" t="inlineStr">
        <is>
          <t>LAHOLM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46262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46222</v>
      </c>
      <c r="E363" s="1" t="n">
        <v>46262</v>
      </c>
      <c r="F363" t="inlineStr">
        <is>
          <t>HALLANDS LÄN</t>
        </is>
      </c>
      <c r="G363" t="inlineStr">
        <is>
          <t>LAHOLM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45126</v>
      </c>
      <c r="E364" s="1" t="n">
        <v>46262</v>
      </c>
      <c r="F364" t="inlineStr">
        <is>
          <t>HALLANDS LÄN</t>
        </is>
      </c>
      <c r="G364" t="inlineStr">
        <is>
          <t>LAHOLM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45069</v>
      </c>
      <c r="E365" s="1" t="n">
        <v>46262</v>
      </c>
      <c r="F365" t="inlineStr">
        <is>
          <t>HALLANDS LÄN</t>
        </is>
      </c>
      <c r="G365" t="inlineStr">
        <is>
          <t>LAHOLM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45314</v>
      </c>
      <c r="E366" s="1" t="n">
        <v>46262</v>
      </c>
      <c r="F366" t="inlineStr">
        <is>
          <t>HALLANDS LÄN</t>
        </is>
      </c>
      <c r="G366" t="inlineStr">
        <is>
          <t>LAHOLM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60341-2024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45643</v>
      </c>
      <c r="E367" s="1" t="n">
        <v>46262</v>
      </c>
      <c r="F367" t="inlineStr">
        <is>
          <t>HALLANDS LÄN</t>
        </is>
      </c>
      <c r="G367" t="inlineStr">
        <is>
          <t>LAHOLM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31940-2023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46262</v>
      </c>
      <c r="F368" t="inlineStr">
        <is>
          <t>HALLANDS LÄN</t>
        </is>
      </c>
      <c r="G368" t="inlineStr">
        <is>
          <t>LAHOLM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27223-2026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46184</v>
      </c>
      <c r="E369" s="1" t="n">
        <v>46262</v>
      </c>
      <c r="F369" t="inlineStr">
        <is>
          <t>HALLANDS LÄN</t>
        </is>
      </c>
      <c r="G369" t="inlineStr">
        <is>
          <t>LAHOLM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47937-2022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46262</v>
      </c>
      <c r="F370" t="inlineStr">
        <is>
          <t>HALLANDS LÄN</t>
        </is>
      </c>
      <c r="G370" t="inlineStr">
        <is>
          <t>LAHOLM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45208</v>
      </c>
      <c r="E371" s="1" t="n">
        <v>46262</v>
      </c>
      <c r="F371" t="inlineStr">
        <is>
          <t>HALLANDS LÄN</t>
        </is>
      </c>
      <c r="G371" t="inlineStr">
        <is>
          <t>LAHOLM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46262</v>
      </c>
      <c r="F372" t="inlineStr">
        <is>
          <t>HALLANDS LÄN</t>
        </is>
      </c>
      <c r="G372" t="inlineStr">
        <is>
          <t>LAHOLM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34474-2023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45139</v>
      </c>
      <c r="E373" s="1" t="n">
        <v>46262</v>
      </c>
      <c r="F373" t="inlineStr">
        <is>
          <t>HALLANDS LÄN</t>
        </is>
      </c>
      <c r="G373" t="inlineStr">
        <is>
          <t>LAHOLM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45139</v>
      </c>
      <c r="E374" s="1" t="n">
        <v>46262</v>
      </c>
      <c r="F374" t="inlineStr">
        <is>
          <t>HALLANDS LÄN</t>
        </is>
      </c>
      <c r="G374" t="inlineStr">
        <is>
          <t>LAHOLM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45314</v>
      </c>
      <c r="E375" s="1" t="n">
        <v>46262</v>
      </c>
      <c r="F375" t="inlineStr">
        <is>
          <t>HALLANDS LÄN</t>
        </is>
      </c>
      <c r="G375" t="inlineStr">
        <is>
          <t>LAHOLM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44639</v>
      </c>
      <c r="E376" s="1" t="n">
        <v>46262</v>
      </c>
      <c r="F376" t="inlineStr">
        <is>
          <t>HALLANDS LÄN</t>
        </is>
      </c>
      <c r="G376" t="inlineStr">
        <is>
          <t>LAHOLM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44943</v>
      </c>
      <c r="E377" s="1" t="n">
        <v>46262</v>
      </c>
      <c r="F377" t="inlineStr">
        <is>
          <t>HALLANDS LÄN</t>
        </is>
      </c>
      <c r="G377" t="inlineStr">
        <is>
          <t>LAHOLM</t>
        </is>
      </c>
      <c r="H377" t="inlineStr">
        <is>
          <t>Kommuner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45342</v>
      </c>
      <c r="E378" s="1" t="n">
        <v>46262</v>
      </c>
      <c r="F378" t="inlineStr">
        <is>
          <t>HALLANDS LÄN</t>
        </is>
      </c>
      <c r="G378" t="inlineStr">
        <is>
          <t>LAHOLM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45342</v>
      </c>
      <c r="E379" s="1" t="n">
        <v>46262</v>
      </c>
      <c r="F379" t="inlineStr">
        <is>
          <t>HALLANDS LÄN</t>
        </is>
      </c>
      <c r="G379" t="inlineStr">
        <is>
          <t>LAHOLM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37725-2022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44810</v>
      </c>
      <c r="E380" s="1" t="n">
        <v>46262</v>
      </c>
      <c r="F380" t="inlineStr">
        <is>
          <t>HALLANDS LÄN</t>
        </is>
      </c>
      <c r="G380" t="inlineStr">
        <is>
          <t>LAHOLM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46262</v>
      </c>
      <c r="F381" t="inlineStr">
        <is>
          <t>HALLANDS LÄN</t>
        </is>
      </c>
      <c r="G381" t="inlineStr">
        <is>
          <t>LAHOLM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64575-2021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44511</v>
      </c>
      <c r="E382" s="1" t="n">
        <v>46262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46262</v>
      </c>
      <c r="F383" t="inlineStr">
        <is>
          <t>HALLANDS LÄN</t>
        </is>
      </c>
      <c r="G383" t="inlineStr">
        <is>
          <t>LAHOLM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35523-2024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46262</v>
      </c>
      <c r="F384" t="inlineStr">
        <is>
          <t>HALLANDS LÄN</t>
        </is>
      </c>
      <c r="G384" t="inlineStr">
        <is>
          <t>LAHOLM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6833-2022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44602</v>
      </c>
      <c r="E385" s="1" t="n">
        <v>46262</v>
      </c>
      <c r="F385" t="inlineStr">
        <is>
          <t>HALLANDS LÄN</t>
        </is>
      </c>
      <c r="G385" t="inlineStr">
        <is>
          <t>LAHOLM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45337</v>
      </c>
      <c r="E386" s="1" t="n">
        <v>46262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62688-2023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45268</v>
      </c>
      <c r="E387" s="1" t="n">
        <v>46262</v>
      </c>
      <c r="F387" t="inlineStr">
        <is>
          <t>HALLANDS LÄN</t>
        </is>
      </c>
      <c r="G387" t="inlineStr">
        <is>
          <t>LAHOLM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46262</v>
      </c>
      <c r="F388" t="inlineStr">
        <is>
          <t>HALLANDS LÄN</t>
        </is>
      </c>
      <c r="G388" t="inlineStr">
        <is>
          <t>LAHOLM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46262</v>
      </c>
      <c r="F389" t="inlineStr">
        <is>
          <t>HALLANDS LÄN</t>
        </is>
      </c>
      <c r="G389" t="inlineStr">
        <is>
          <t>LAHOLM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46237</v>
      </c>
      <c r="E390" s="1" t="n">
        <v>46262</v>
      </c>
      <c r="F390" t="inlineStr">
        <is>
          <t>HALLANDS LÄN</t>
        </is>
      </c>
      <c r="G390" t="inlineStr">
        <is>
          <t>LAHOLM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45040</v>
      </c>
      <c r="E391" s="1" t="n">
        <v>46262</v>
      </c>
      <c r="F391" t="inlineStr">
        <is>
          <t>HALLANDS LÄN</t>
        </is>
      </c>
      <c r="G391" t="inlineStr">
        <is>
          <t>LAHOLM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46262</v>
      </c>
      <c r="F392" t="inlineStr">
        <is>
          <t>HALLANDS LÄN</t>
        </is>
      </c>
      <c r="G392" t="inlineStr">
        <is>
          <t>LAHOLM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46237</v>
      </c>
      <c r="E393" s="1" t="n">
        <v>46262</v>
      </c>
      <c r="F393" t="inlineStr">
        <is>
          <t>HALLANDS LÄN</t>
        </is>
      </c>
      <c r="G393" t="inlineStr">
        <is>
          <t>LAHOLM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46262</v>
      </c>
      <c r="F394" t="inlineStr">
        <is>
          <t>HALLANDS LÄN</t>
        </is>
      </c>
      <c r="G394" t="inlineStr">
        <is>
          <t>LAHOLM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34046-2023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45135</v>
      </c>
      <c r="E395" s="1" t="n">
        <v>46262</v>
      </c>
      <c r="F395" t="inlineStr">
        <is>
          <t>HALLANDS LÄN</t>
        </is>
      </c>
      <c r="G395" t="inlineStr">
        <is>
          <t>LAHOLM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46262</v>
      </c>
      <c r="F396" t="inlineStr">
        <is>
          <t>HALLANDS LÄN</t>
        </is>
      </c>
      <c r="G396" t="inlineStr">
        <is>
          <t>LAHOLM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46262</v>
      </c>
      <c r="F397" t="inlineStr">
        <is>
          <t>HALLANDS LÄN</t>
        </is>
      </c>
      <c r="G397" t="inlineStr">
        <is>
          <t>LAHOLM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46262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28351-2026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46196</v>
      </c>
      <c r="E399" s="1" t="n">
        <v>46262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45707</v>
      </c>
      <c r="E400" s="1" t="n">
        <v>46262</v>
      </c>
      <c r="F400" t="inlineStr">
        <is>
          <t>HALLANDS LÄN</t>
        </is>
      </c>
      <c r="G400" t="inlineStr">
        <is>
          <t>LAHOLM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44909</v>
      </c>
      <c r="E401" s="1" t="n">
        <v>46262</v>
      </c>
      <c r="F401" t="inlineStr">
        <is>
          <t>HALLANDS LÄN</t>
        </is>
      </c>
      <c r="G401" t="inlineStr">
        <is>
          <t>LAHOLM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46262</v>
      </c>
      <c r="F402" t="inlineStr">
        <is>
          <t>HALLANDS LÄN</t>
        </is>
      </c>
      <c r="G402" t="inlineStr">
        <is>
          <t>LAHOLM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46164-2024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45581</v>
      </c>
      <c r="E403" s="1" t="n">
        <v>46262</v>
      </c>
      <c r="F403" t="inlineStr">
        <is>
          <t>HALLANDS LÄN</t>
        </is>
      </c>
      <c r="G403" t="inlineStr">
        <is>
          <t>LAHOLM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45174</v>
      </c>
      <c r="E404" s="1" t="n">
        <v>46262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45303</v>
      </c>
      <c r="E405" s="1" t="n">
        <v>46262</v>
      </c>
      <c r="F405" t="inlineStr">
        <is>
          <t>HALLANDS LÄN</t>
        </is>
      </c>
      <c r="G405" t="inlineStr">
        <is>
          <t>LAHOLM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46262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29219-2026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46262</v>
      </c>
      <c r="F407" t="inlineStr">
        <is>
          <t>HALLANDS LÄN</t>
        </is>
      </c>
      <c r="G407" t="inlineStr">
        <is>
          <t>LAHOLM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46262</v>
      </c>
      <c r="F408" t="inlineStr">
        <is>
          <t>HALLANDS LÄN</t>
        </is>
      </c>
      <c r="G408" t="inlineStr">
        <is>
          <t>LAHOLM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46262</v>
      </c>
      <c r="F409" t="inlineStr">
        <is>
          <t>HALLANDS LÄN</t>
        </is>
      </c>
      <c r="G409" t="inlineStr">
        <is>
          <t>LAHOLM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49549-2023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46262</v>
      </c>
      <c r="F410" t="inlineStr">
        <is>
          <t>HALLANDS LÄN</t>
        </is>
      </c>
      <c r="G410" t="inlineStr">
        <is>
          <t>LAHOLM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46262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46262</v>
      </c>
      <c r="F412" t="inlineStr">
        <is>
          <t>HALLANDS LÄN</t>
        </is>
      </c>
      <c r="G412" t="inlineStr">
        <is>
          <t>LAHOLM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24395-2022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44726</v>
      </c>
      <c r="E413" s="1" t="n">
        <v>46262</v>
      </c>
      <c r="F413" t="inlineStr">
        <is>
          <t>HALLANDS LÄN</t>
        </is>
      </c>
      <c r="G413" t="inlineStr">
        <is>
          <t>LAHOLM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46262</v>
      </c>
      <c r="F414" t="inlineStr">
        <is>
          <t>HALLANDS LÄN</t>
        </is>
      </c>
      <c r="G414" t="inlineStr">
        <is>
          <t>LAHOLM</t>
        </is>
      </c>
      <c r="H414" t="inlineStr">
        <is>
          <t>Övriga Aktiebolag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46262</v>
      </c>
      <c r="F415" t="inlineStr">
        <is>
          <t>HALLANDS LÄN</t>
        </is>
      </c>
      <c r="G415" t="inlineStr">
        <is>
          <t>LAHOLM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55699-2023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46262</v>
      </c>
      <c r="F416" t="inlineStr">
        <is>
          <t>HALLANDS LÄN</t>
        </is>
      </c>
      <c r="G416" t="inlineStr">
        <is>
          <t>LAHOLM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46262</v>
      </c>
      <c r="F417" t="inlineStr">
        <is>
          <t>HALLANDS LÄN</t>
        </is>
      </c>
      <c r="G417" t="inlineStr">
        <is>
          <t>LAHOLM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33250-2026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46246</v>
      </c>
      <c r="E418" s="1" t="n">
        <v>46262</v>
      </c>
      <c r="F418" t="inlineStr">
        <is>
          <t>HALLANDS LÄN</t>
        </is>
      </c>
      <c r="G418" t="inlineStr">
        <is>
          <t>LAHOLM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46262</v>
      </c>
      <c r="F419" t="inlineStr">
        <is>
          <t>HALLANDS LÄN</t>
        </is>
      </c>
      <c r="G419" t="inlineStr">
        <is>
          <t>LAHOLM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33248-2026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46262</v>
      </c>
      <c r="F420" t="inlineStr">
        <is>
          <t>HALLANDS LÄN</t>
        </is>
      </c>
      <c r="G420" t="inlineStr">
        <is>
          <t>LAHOLM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46262</v>
      </c>
      <c r="F421" t="inlineStr">
        <is>
          <t>HALLANDS LÄN</t>
        </is>
      </c>
      <c r="G421" t="inlineStr">
        <is>
          <t>LAHOLM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33255-2026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46246</v>
      </c>
      <c r="E422" s="1" t="n">
        <v>46262</v>
      </c>
      <c r="F422" t="inlineStr">
        <is>
          <t>HALLANDS LÄN</t>
        </is>
      </c>
      <c r="G422" t="inlineStr">
        <is>
          <t>LAHOLM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55704-2023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46262</v>
      </c>
      <c r="F423" t="inlineStr">
        <is>
          <t>HALLANDS LÄN</t>
        </is>
      </c>
      <c r="G423" t="inlineStr">
        <is>
          <t>LAHOLM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64922-2023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45282</v>
      </c>
      <c r="E424" s="1" t="n">
        <v>46262</v>
      </c>
      <c r="F424" t="inlineStr">
        <is>
          <t>HALLANDS LÄN</t>
        </is>
      </c>
      <c r="G424" t="inlineStr">
        <is>
          <t>LAHOLM</t>
        </is>
      </c>
      <c r="H424" t="inlineStr">
        <is>
          <t>Övriga Aktiebolag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45152</v>
      </c>
      <c r="E425" s="1" t="n">
        <v>46262</v>
      </c>
      <c r="F425" t="inlineStr">
        <is>
          <t>HALLANDS LÄN</t>
        </is>
      </c>
      <c r="G425" t="inlineStr">
        <is>
          <t>LAHOLM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46206</v>
      </c>
      <c r="E426" s="1" t="n">
        <v>46262</v>
      </c>
      <c r="F426" t="inlineStr">
        <is>
          <t>HALLANDS LÄN</t>
        </is>
      </c>
      <c r="G426" t="inlineStr">
        <is>
          <t>LAHOLM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45076</v>
      </c>
      <c r="E427" s="1" t="n">
        <v>46262</v>
      </c>
      <c r="F427" t="inlineStr">
        <is>
          <t>HALLANDS LÄN</t>
        </is>
      </c>
      <c r="G427" t="inlineStr">
        <is>
          <t>LAHOLM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45317</v>
      </c>
      <c r="E428" s="1" t="n">
        <v>46262</v>
      </c>
      <c r="F428" t="inlineStr">
        <is>
          <t>HALLANDS LÄN</t>
        </is>
      </c>
      <c r="G428" t="inlineStr">
        <is>
          <t>LAHOLM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37448-2023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45156</v>
      </c>
      <c r="E429" s="1" t="n">
        <v>46262</v>
      </c>
      <c r="F429" t="inlineStr">
        <is>
          <t>HALLANDS LÄN</t>
        </is>
      </c>
      <c r="G429" t="inlineStr">
        <is>
          <t>LAHOLM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63793-2023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45278</v>
      </c>
      <c r="E430" s="1" t="n">
        <v>46262</v>
      </c>
      <c r="F430" t="inlineStr">
        <is>
          <t>HALLANDS LÄN</t>
        </is>
      </c>
      <c r="G430" t="inlineStr">
        <is>
          <t>LAHOLM</t>
        </is>
      </c>
      <c r="I430" t="n">
        <v>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33787-2026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46251</v>
      </c>
      <c r="E431" s="1" t="n">
        <v>46262</v>
      </c>
      <c r="F431" t="inlineStr">
        <is>
          <t>HALLANDS LÄN</t>
        </is>
      </c>
      <c r="G431" t="inlineStr">
        <is>
          <t>LAHOLM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45603</v>
      </c>
      <c r="E432" s="1" t="n">
        <v>46262</v>
      </c>
      <c r="F432" t="inlineStr">
        <is>
          <t>HALLANDS LÄN</t>
        </is>
      </c>
      <c r="G432" t="inlineStr">
        <is>
          <t>LAHOLM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46262</v>
      </c>
      <c r="F433" t="inlineStr">
        <is>
          <t>HALLANDS LÄN</t>
        </is>
      </c>
      <c r="G433" t="inlineStr">
        <is>
          <t>LAHOLM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13528-2023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45006</v>
      </c>
      <c r="E434" s="1" t="n">
        <v>46262</v>
      </c>
      <c r="F434" t="inlineStr">
        <is>
          <t>HALLANDS LÄN</t>
        </is>
      </c>
      <c r="G434" t="inlineStr">
        <is>
          <t>LAHOLM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45762</v>
      </c>
      <c r="E435" s="1" t="n">
        <v>46262</v>
      </c>
      <c r="F435" t="inlineStr">
        <is>
          <t>HALLANDS LÄN</t>
        </is>
      </c>
      <c r="G435" t="inlineStr">
        <is>
          <t>LAHOLM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46262</v>
      </c>
      <c r="F436" t="inlineStr">
        <is>
          <t>HALLANDS LÄN</t>
        </is>
      </c>
      <c r="G436" t="inlineStr">
        <is>
          <t>LAHOLM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44261-2023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46262</v>
      </c>
      <c r="F437" t="inlineStr">
        <is>
          <t>HALLANDS LÄN</t>
        </is>
      </c>
      <c r="G437" t="inlineStr">
        <is>
          <t>LAHOLM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46262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45130</v>
      </c>
      <c r="E439" s="1" t="n">
        <v>46262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46262</v>
      </c>
      <c r="F440" t="inlineStr">
        <is>
          <t>HALLANDS LÄN</t>
        </is>
      </c>
      <c r="G440" t="inlineStr">
        <is>
          <t>LAHOLM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46209</v>
      </c>
      <c r="E441" s="1" t="n">
        <v>46262</v>
      </c>
      <c r="F441" t="inlineStr">
        <is>
          <t>HALLANDS LÄN</t>
        </is>
      </c>
      <c r="G441" t="inlineStr">
        <is>
          <t>LAHOLM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46262</v>
      </c>
      <c r="F442" t="inlineStr">
        <is>
          <t>HALLANDS LÄN</t>
        </is>
      </c>
      <c r="G442" t="inlineStr">
        <is>
          <t>LAHOLM</t>
        </is>
      </c>
      <c r="H442" t="inlineStr">
        <is>
          <t>Sveaskog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59429-2021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44491</v>
      </c>
      <c r="E443" s="1" t="n">
        <v>46262</v>
      </c>
      <c r="F443" t="inlineStr">
        <is>
          <t>HALLANDS LÄN</t>
        </is>
      </c>
      <c r="G443" t="inlineStr">
        <is>
          <t>LAHOLM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46262</v>
      </c>
      <c r="F444" t="inlineStr">
        <is>
          <t>HALLANDS LÄN</t>
        </is>
      </c>
      <c r="G444" t="inlineStr">
        <is>
          <t>LAHOLM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46262</v>
      </c>
      <c r="F445" t="inlineStr">
        <is>
          <t>HALLANDS LÄN</t>
        </is>
      </c>
      <c r="G445" t="inlineStr">
        <is>
          <t>LAHOLM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46262</v>
      </c>
      <c r="F446" t="inlineStr">
        <is>
          <t>HALLANDS LÄN</t>
        </is>
      </c>
      <c r="G446" t="inlineStr">
        <is>
          <t>LAHOLM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24759-2026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46171</v>
      </c>
      <c r="E447" s="1" t="n">
        <v>46262</v>
      </c>
      <c r="F447" t="inlineStr">
        <is>
          <t>HALLANDS LÄN</t>
        </is>
      </c>
      <c r="G447" t="inlineStr">
        <is>
          <t>LAHOLM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17548-2024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45415</v>
      </c>
      <c r="E448" s="1" t="n">
        <v>46262</v>
      </c>
      <c r="F448" t="inlineStr">
        <is>
          <t>HALLANDS LÄN</t>
        </is>
      </c>
      <c r="G448" t="inlineStr">
        <is>
          <t>LAHOLM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38929-2024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45548</v>
      </c>
      <c r="E449" s="1" t="n">
        <v>46262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45758</v>
      </c>
      <c r="E450" s="1" t="n">
        <v>46262</v>
      </c>
      <c r="F450" t="inlineStr">
        <is>
          <t>HALLANDS LÄN</t>
        </is>
      </c>
      <c r="G450" t="inlineStr">
        <is>
          <t>LAHOLM</t>
        </is>
      </c>
      <c r="I450" t="n">
        <v>8.9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46255</v>
      </c>
      <c r="E451" s="1" t="n">
        <v>46262</v>
      </c>
      <c r="F451" t="inlineStr">
        <is>
          <t>HALLANDS LÄN</t>
        </is>
      </c>
      <c r="G451" t="inlineStr">
        <is>
          <t>LAHOLM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45337</v>
      </c>
      <c r="E452" s="1" t="n">
        <v>46262</v>
      </c>
      <c r="F452" t="inlineStr">
        <is>
          <t>HALLANDS LÄN</t>
        </is>
      </c>
      <c r="G452" t="inlineStr">
        <is>
          <t>LAHOLM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35001-2026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46259</v>
      </c>
      <c r="E453" s="1" t="n">
        <v>46262</v>
      </c>
      <c r="F453" t="inlineStr">
        <is>
          <t>HALLANDS LÄN</t>
        </is>
      </c>
      <c r="G453" t="inlineStr">
        <is>
          <t>LAHOLM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46262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46262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46262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46262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46262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46262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46262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46262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46262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46262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46262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46262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46262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46262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46262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46262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2026-08-28T01:53:32Z</dcterms:created>
  <dcterms:modified xmlns:dcterms="http://purl.org/dc/terms/" xmlns:xsi="http://www.w3.org/2001/XMLSchema-instance" xsi:type="dcterms:W3CDTF">2026-08-28T01:53:32Z</dcterms:modified>
</cp:coreProperties>
</file>