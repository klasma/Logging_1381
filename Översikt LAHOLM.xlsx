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46306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46306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46306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46306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46306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46306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46306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3691-2024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46306</v>
      </c>
      <c r="F24" t="inlineStr">
        <is>
          <t>HALLANDS LÄN</t>
        </is>
      </c>
      <c r="G24" t="inlineStr">
        <is>
          <t>LAHOLM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HYPERLINK("https://klasma.github.io/Logging_1381/artfynd/A 3691-2024 artfynd.xlsx", "A 3691-2024")</f>
        <v/>
      </c>
      <c r="X24">
        <f>HYPERLINK("https://klasma.github.io/Logging_1381/kartor/A 3691-2024 karta.png", "A 3691-2024")</f>
        <v/>
      </c>
      <c r="Y24">
        <f>HYPERLINK("https://klasma.github.io/Logging_1381/kartor_geotiff/A 3691-2024 georefererad karta.tif", "A 3691-2024")</f>
        <v/>
      </c>
      <c r="AA24">
        <f>HYPERLINK("https://klasma.github.io/Logging_1381/klagomål/A 3691-2024 FSC-klagomål.docx", "A 3691-2024")</f>
        <v/>
      </c>
      <c r="AB24">
        <f>HYPERLINK("https://klasma.github.io/Logging_1381/klagomålsmail/A 3691-2024 FSC-klagomål mail.docx", "A 3691-2024")</f>
        <v/>
      </c>
      <c r="AC24">
        <f>HYPERLINK("https://klasma.github.io/Logging_1381/tillsyn/A 3691-2024 tillsynsbegäran.docx", "A 3691-2024")</f>
        <v/>
      </c>
      <c r="AD24">
        <f>HYPERLINK("https://klasma.github.io/Logging_1381/tillsynsmail/A 3691-2024 tillsynsbegäran mail.docx", "A 3691-2024")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46306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2</v>
      </c>
      <c r="V25" s="2" t="inlineStr">
        <is>
          <t>Vildris</t>
        </is>
      </c>
      <c r="W25">
        <f>HYPERLINK("https://klasma.github.io/Logging_1381/artfynd/A 37556-2023 artfynd.xlsx", "A 37556-2023")</f>
        <v/>
      </c>
      <c r="X25">
        <f>HYPERLINK("https://klasma.github.io/Logging_1381/kartor/A 37556-2023 karta.png", "A 37556-2023")</f>
        <v/>
      </c>
      <c r="Y25">
        <f>HYPERLINK("https://klasma.github.io/Logging_1381/kartor_geotiff/A 37556-2023 georefererad karta.tif", "A 37556-2023")</f>
        <v/>
      </c>
      <c r="AA25">
        <f>HYPERLINK("https://klasma.github.io/Logging_1381/klagomål/A 37556-2023 FSC-klagomål.docx", "A 37556-2023")</f>
        <v/>
      </c>
      <c r="AB25">
        <f>HYPERLINK("https://klasma.github.io/Logging_1381/klagomålsmail/A 37556-2023 FSC-klagomål mail.docx", "A 37556-2023")</f>
        <v/>
      </c>
      <c r="AC25">
        <f>HYPERLINK("https://klasma.github.io/Logging_1381/tillsyn/A 37556-2023 tillsynsbegäran.docx", "A 37556-2023")</f>
        <v/>
      </c>
      <c r="AD25">
        <f>HYPERLINK("https://klasma.github.io/Logging_1381/tillsynsmail/A 37556-2023 tillsynsbegäran mail.docx", "A 37556-2023")</f>
        <v/>
      </c>
    </row>
    <row r="26" ht="15" customHeight="1">
      <c r="A26" t="inlineStr">
        <is>
          <t>A 3576-2025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46306</v>
      </c>
      <c r="F26" t="inlineStr">
        <is>
          <t>HALLANDS LÄN</t>
        </is>
      </c>
      <c r="G26" t="inlineStr">
        <is>
          <t>LAHOLM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HYPERLINK("https://klasma.github.io/Logging_1381/artfynd/A 3576-2025 artfynd.xlsx", "A 3576-2025")</f>
        <v/>
      </c>
      <c r="X26">
        <f>HYPERLINK("https://klasma.github.io/Logging_1381/kartor/A 3576-2025 karta.png", "A 3576-2025")</f>
        <v/>
      </c>
      <c r="Y26">
        <f>HYPERLINK("https://klasma.github.io/Logging_1381/kartor_geotiff/A 3576-2025 georefererad karta.tif", "A 3576-2025")</f>
        <v/>
      </c>
      <c r="AA26">
        <f>HYPERLINK("https://klasma.github.io/Logging_1381/klagomål/A 3576-2025 FSC-klagomål.docx", "A 3576-2025")</f>
        <v/>
      </c>
      <c r="AB26">
        <f>HYPERLINK("https://klasma.github.io/Logging_1381/klagomålsmail/A 3576-2025 FSC-klagomål mail.docx", "A 3576-2025")</f>
        <v/>
      </c>
      <c r="AC26">
        <f>HYPERLINK("https://klasma.github.io/Logging_1381/tillsyn/A 3576-2025 tillsynsbegäran.docx", "A 3576-2025")</f>
        <v/>
      </c>
      <c r="AD26">
        <f>HYPERLINK("https://klasma.github.io/Logging_1381/tillsynsmail/A 3576-2025 tillsynsbegäran mail.docx", "A 3576-2025")</f>
        <v/>
      </c>
      <c r="AE26">
        <f>HYPERLINK("https://klasma.github.io/Logging_1381/fåglar/A 3576-2025 prioriterade fågelarter.docx", "A 3576-2025")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46306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46306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46306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48972-2023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46306</v>
      </c>
      <c r="F30" t="inlineStr">
        <is>
          <t>HALLANDS LÄN</t>
        </is>
      </c>
      <c r="G30" t="inlineStr">
        <is>
          <t>LAHOLM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48972-2023 artfynd.xlsx", "A 48972-2023")</f>
        <v/>
      </c>
      <c r="X30">
        <f>HYPERLINK("https://klasma.github.io/Logging_1381/kartor/A 48972-2023 karta.png", "A 48972-2023")</f>
        <v/>
      </c>
      <c r="Y30">
        <f>HYPERLINK("https://klasma.github.io/Logging_1381/kartor_geotiff/A 48972-2023 georefererad karta.tif", "A 48972-2023")</f>
        <v/>
      </c>
      <c r="AA30">
        <f>HYPERLINK("https://klasma.github.io/Logging_1381/klagomål/A 48972-2023 FSC-klagomål.docx", "A 48972-2023")</f>
        <v/>
      </c>
      <c r="AB30">
        <f>HYPERLINK("https://klasma.github.io/Logging_1381/klagomålsmail/A 48972-2023 FSC-klagomål mail.docx", "A 48972-2023")</f>
        <v/>
      </c>
      <c r="AC30">
        <f>HYPERLINK("https://klasma.github.io/Logging_1381/tillsyn/A 48972-2023 tillsynsbegäran.docx", "A 48972-2023")</f>
        <v/>
      </c>
      <c r="AD30">
        <f>HYPERLINK("https://klasma.github.io/Logging_1381/tillsynsmail/A 48972-2023 tillsynsbegäran mail.docx", "A 48972-2023")</f>
        <v/>
      </c>
    </row>
    <row r="31" ht="15" customHeight="1">
      <c r="A31" t="inlineStr">
        <is>
          <t>A 12502-2025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45730</v>
      </c>
      <c r="E31" s="1" t="n">
        <v>46306</v>
      </c>
      <c r="F31" t="inlineStr">
        <is>
          <t>HALLANDS LÄN</t>
        </is>
      </c>
      <c r="G31" t="inlineStr">
        <is>
          <t>LAHOLM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12502-2025 artfynd.xlsx", "A 12502-2025")</f>
        <v/>
      </c>
      <c r="X31">
        <f>HYPERLINK("https://klasma.github.io/Logging_1381/kartor/A 12502-2025 karta.png", "A 12502-2025")</f>
        <v/>
      </c>
      <c r="Y31">
        <f>HYPERLINK("https://klasma.github.io/Logging_1381/kartor_geotiff/A 12502-2025 georefererad karta.tif", "A 12502-2025")</f>
        <v/>
      </c>
      <c r="AA31">
        <f>HYPERLINK("https://klasma.github.io/Logging_1381/klagomål/A 12502-2025 FSC-klagomål.docx", "A 12502-2025")</f>
        <v/>
      </c>
      <c r="AB31">
        <f>HYPERLINK("https://klasma.github.io/Logging_1381/klagomålsmail/A 12502-2025 FSC-klagomål mail.docx", "A 12502-2025")</f>
        <v/>
      </c>
      <c r="AC31">
        <f>HYPERLINK("https://klasma.github.io/Logging_1381/tillsyn/A 12502-2025 tillsynsbegäran.docx", "A 12502-2025")</f>
        <v/>
      </c>
      <c r="AD31">
        <f>HYPERLINK("https://klasma.github.io/Logging_1381/tillsynsmail/A 12502-2025 tillsynsbegäran mail.docx", "A 12502-2025")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46306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46306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46306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46306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46306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46306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46306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46306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46306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46306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46306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46306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46306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46306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46306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46306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46306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46306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46306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46306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46306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46306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46306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46306</v>
      </c>
      <c r="F55" t="inlineStr">
        <is>
          <t>HALLANDS LÄN</t>
        </is>
      </c>
      <c r="G55" t="inlineStr">
        <is>
          <t>LAHOLM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46306</v>
      </c>
      <c r="F56" t="inlineStr">
        <is>
          <t>HALLANDS LÄN</t>
        </is>
      </c>
      <c r="G56" t="inlineStr">
        <is>
          <t>LAHOLM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46306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44600</v>
      </c>
      <c r="E58" s="1" t="n">
        <v>46306</v>
      </c>
      <c r="F58" t="inlineStr">
        <is>
          <t>HALLANDS LÄN</t>
        </is>
      </c>
      <c r="G58" t="inlineStr">
        <is>
          <t>LAHOLM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46306</v>
      </c>
      <c r="F60" t="inlineStr">
        <is>
          <t>HALLANDS LÄN</t>
        </is>
      </c>
      <c r="G60" t="inlineStr">
        <is>
          <t>LAHOLM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44749</v>
      </c>
      <c r="E61" s="1" t="n">
        <v>46306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46306</v>
      </c>
      <c r="F62" t="inlineStr">
        <is>
          <t>HALLANDS LÄN</t>
        </is>
      </c>
      <c r="G62" t="inlineStr">
        <is>
          <t>LAHOLM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57334-2021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46306</v>
      </c>
      <c r="F63" t="inlineStr">
        <is>
          <t>HALLANDS LÄN</t>
        </is>
      </c>
      <c r="G63" t="inlineStr">
        <is>
          <t>LAHOLM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46306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46306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46306</v>
      </c>
      <c r="F66" t="inlineStr">
        <is>
          <t>HALLANDS LÄN</t>
        </is>
      </c>
      <c r="G66" t="inlineStr">
        <is>
          <t>LAHOLM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46306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46306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73853-2021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44553</v>
      </c>
      <c r="E69" s="1" t="n">
        <v>46306</v>
      </c>
      <c r="F69" t="inlineStr">
        <is>
          <t>HALLANDS LÄN</t>
        </is>
      </c>
      <c r="G69" t="inlineStr">
        <is>
          <t>LAHOLM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70607-2021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46306</v>
      </c>
      <c r="F70" t="inlineStr">
        <is>
          <t>HALLANDS LÄN</t>
        </is>
      </c>
      <c r="G70" t="inlineStr">
        <is>
          <t>LAHOLM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46306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46306</v>
      </c>
      <c r="F72" t="inlineStr">
        <is>
          <t>HALLANDS LÄN</t>
        </is>
      </c>
      <c r="G72" t="inlineStr">
        <is>
          <t>LAHOLM</t>
        </is>
      </c>
      <c r="H72" t="inlineStr">
        <is>
          <t>Övriga statliga verk och myndigheter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46306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46306</v>
      </c>
      <c r="F74" t="inlineStr">
        <is>
          <t>HALLANDS LÄN</t>
        </is>
      </c>
      <c r="G74" t="inlineStr">
        <is>
          <t>LAHOLM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46306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46306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45364</v>
      </c>
      <c r="E77" s="1" t="n">
        <v>46306</v>
      </c>
      <c r="F77" t="inlineStr">
        <is>
          <t>HALLANDS LÄN</t>
        </is>
      </c>
      <c r="G77" t="inlineStr">
        <is>
          <t>LAHOLM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45135</v>
      </c>
      <c r="E78" s="1" t="n">
        <v>46306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46306</v>
      </c>
      <c r="F79" t="inlineStr">
        <is>
          <t>HALLANDS LÄN</t>
        </is>
      </c>
      <c r="G79" t="inlineStr">
        <is>
          <t>LAHOLM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46306</v>
      </c>
      <c r="F80" t="inlineStr">
        <is>
          <t>HALLANDS LÄN</t>
        </is>
      </c>
      <c r="G80" t="inlineStr">
        <is>
          <t>LAHOLM</t>
        </is>
      </c>
      <c r="H80" t="inlineStr">
        <is>
          <t>Kommuner</t>
        </is>
      </c>
      <c r="I80" t="n">
        <v>12.2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46306</v>
      </c>
      <c r="F81" t="inlineStr">
        <is>
          <t>HALLANDS LÄN</t>
        </is>
      </c>
      <c r="G81" t="inlineStr">
        <is>
          <t>LAHOLM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46306</v>
      </c>
      <c r="F82" t="inlineStr">
        <is>
          <t>HALLANDS LÄN</t>
        </is>
      </c>
      <c r="G82" t="inlineStr">
        <is>
          <t>LAHOLM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46306</v>
      </c>
      <c r="F83" t="inlineStr">
        <is>
          <t>HALLANDS LÄN</t>
        </is>
      </c>
      <c r="G83" t="inlineStr">
        <is>
          <t>LAHOLM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46306</v>
      </c>
      <c r="F84" t="inlineStr">
        <is>
          <t>HALLANDS LÄN</t>
        </is>
      </c>
      <c r="G84" t="inlineStr">
        <is>
          <t>LAHOLM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45156</v>
      </c>
      <c r="E85" s="1" t="n">
        <v>46306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46306</v>
      </c>
      <c r="F86" t="inlineStr">
        <is>
          <t>HALLANDS LÄN</t>
        </is>
      </c>
      <c r="G86" t="inlineStr">
        <is>
          <t>LAHOLM</t>
        </is>
      </c>
      <c r="H86" t="inlineStr">
        <is>
          <t>Kommuner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46306</v>
      </c>
      <c r="F87" t="inlineStr">
        <is>
          <t>HALLANDS LÄN</t>
        </is>
      </c>
      <c r="G87" t="inlineStr">
        <is>
          <t>LAHOLM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46306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46306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46306</v>
      </c>
      <c r="F90" t="inlineStr">
        <is>
          <t>HALLANDS LÄN</t>
        </is>
      </c>
      <c r="G90" t="inlineStr">
        <is>
          <t>LAHOLM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46306</v>
      </c>
      <c r="F91" t="inlineStr">
        <is>
          <t>HALLANDS LÄN</t>
        </is>
      </c>
      <c r="G91" t="inlineStr">
        <is>
          <t>LAHOLM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46306</v>
      </c>
      <c r="F92" t="inlineStr">
        <is>
          <t>HALLANDS LÄN</t>
        </is>
      </c>
      <c r="G92" t="inlineStr">
        <is>
          <t>LAHOLM</t>
        </is>
      </c>
      <c r="H92" t="inlineStr">
        <is>
          <t>Kommuner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45342</v>
      </c>
      <c r="E93" s="1" t="n">
        <v>46306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46306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46306</v>
      </c>
      <c r="F95" t="inlineStr">
        <is>
          <t>HALLANDS LÄN</t>
        </is>
      </c>
      <c r="G95" t="inlineStr">
        <is>
          <t>LAHOLM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46306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46306</v>
      </c>
      <c r="F97" t="inlineStr">
        <is>
          <t>HALLANDS LÄN</t>
        </is>
      </c>
      <c r="G97" t="inlineStr">
        <is>
          <t>LAHOLM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44810</v>
      </c>
      <c r="E98" s="1" t="n">
        <v>46306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45071</v>
      </c>
      <c r="E99" s="1" t="n">
        <v>46306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46306</v>
      </c>
      <c r="F100" t="inlineStr">
        <is>
          <t>HALLANDS LÄN</t>
        </is>
      </c>
      <c r="G100" t="inlineStr">
        <is>
          <t>LAHOLM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44949</v>
      </c>
      <c r="E101" s="1" t="n">
        <v>46306</v>
      </c>
      <c r="F101" t="inlineStr">
        <is>
          <t>HALLANDS LÄN</t>
        </is>
      </c>
      <c r="G101" t="inlineStr">
        <is>
          <t>LAHOLM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46306</v>
      </c>
      <c r="F102" t="inlineStr">
        <is>
          <t>HALLANDS LÄN</t>
        </is>
      </c>
      <c r="G102" t="inlineStr">
        <is>
          <t>LAHOLM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46306</v>
      </c>
      <c r="F103" t="inlineStr">
        <is>
          <t>HALLANDS LÄN</t>
        </is>
      </c>
      <c r="G103" t="inlineStr">
        <is>
          <t>LAHOLM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46306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46306</v>
      </c>
      <c r="F105" t="inlineStr">
        <is>
          <t>HALLANDS LÄN</t>
        </is>
      </c>
      <c r="G105" t="inlineStr">
        <is>
          <t>LAHOLM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46306</v>
      </c>
      <c r="F106" t="inlineStr">
        <is>
          <t>HALLANDS LÄN</t>
        </is>
      </c>
      <c r="G106" t="inlineStr">
        <is>
          <t>LAHOLM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46306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46306</v>
      </c>
      <c r="F108" t="inlineStr">
        <is>
          <t>HALLANDS LÄN</t>
        </is>
      </c>
      <c r="G108" t="inlineStr">
        <is>
          <t>LAHOLM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46306</v>
      </c>
      <c r="F109" t="inlineStr">
        <is>
          <t>HALLANDS LÄN</t>
        </is>
      </c>
      <c r="G109" t="inlineStr">
        <is>
          <t>LAHOLM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46306</v>
      </c>
      <c r="F110" t="inlineStr">
        <is>
          <t>HALLANDS LÄN</t>
        </is>
      </c>
      <c r="G110" t="inlineStr">
        <is>
          <t>LAHOLM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44949</v>
      </c>
      <c r="E111" s="1" t="n">
        <v>46306</v>
      </c>
      <c r="F111" t="inlineStr">
        <is>
          <t>HALLANDS LÄN</t>
        </is>
      </c>
      <c r="G111" t="inlineStr">
        <is>
          <t>LAHOLM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46306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46306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46306</v>
      </c>
      <c r="F114" t="inlineStr">
        <is>
          <t>HALLANDS LÄN</t>
        </is>
      </c>
      <c r="G114" t="inlineStr">
        <is>
          <t>LAHOLM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46306</v>
      </c>
      <c r="F115" t="inlineStr">
        <is>
          <t>HALLANDS LÄN</t>
        </is>
      </c>
      <c r="G115" t="inlineStr">
        <is>
          <t>LAHOLM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46306</v>
      </c>
      <c r="F116" t="inlineStr">
        <is>
          <t>HALLANDS LÄN</t>
        </is>
      </c>
      <c r="G116" t="inlineStr">
        <is>
          <t>LAHOLM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46306</v>
      </c>
      <c r="F117" t="inlineStr">
        <is>
          <t>HALLANDS LÄN</t>
        </is>
      </c>
      <c r="G117" t="inlineStr">
        <is>
          <t>LAHOLM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46306</v>
      </c>
      <c r="F118" t="inlineStr">
        <is>
          <t>HALLANDS LÄN</t>
        </is>
      </c>
      <c r="G118" t="inlineStr">
        <is>
          <t>LAHOLM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46306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46306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46306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46306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46306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45130</v>
      </c>
      <c r="E124" s="1" t="n">
        <v>46306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46306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46306</v>
      </c>
      <c r="F126" t="inlineStr">
        <is>
          <t>HALLANDS LÄN</t>
        </is>
      </c>
      <c r="G126" t="inlineStr">
        <is>
          <t>LAHOLM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46306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46306</v>
      </c>
      <c r="F128" t="inlineStr">
        <is>
          <t>HALLANDS LÄN</t>
        </is>
      </c>
      <c r="G128" t="inlineStr">
        <is>
          <t>LAHOLM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46306</v>
      </c>
      <c r="F129" t="inlineStr">
        <is>
          <t>HALLANDS LÄN</t>
        </is>
      </c>
      <c r="G129" t="inlineStr">
        <is>
          <t>LAHOLM</t>
        </is>
      </c>
      <c r="H129" t="inlineStr">
        <is>
          <t>Övriga Aktiebolag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46306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46306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46306</v>
      </c>
      <c r="F132" t="inlineStr">
        <is>
          <t>HALLANDS LÄN</t>
        </is>
      </c>
      <c r="G132" t="inlineStr">
        <is>
          <t>LAHOLM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44928</v>
      </c>
      <c r="E133" s="1" t="n">
        <v>46306</v>
      </c>
      <c r="F133" t="inlineStr">
        <is>
          <t>HALLANDS LÄN</t>
        </is>
      </c>
      <c r="G133" t="inlineStr">
        <is>
          <t>LAHOLM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46306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46306</v>
      </c>
      <c r="F135" t="inlineStr">
        <is>
          <t>HALLANDS LÄN</t>
        </is>
      </c>
      <c r="G135" t="inlineStr">
        <is>
          <t>LAHOLM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48446-2023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45206</v>
      </c>
      <c r="E136" s="1" t="n">
        <v>46306</v>
      </c>
      <c r="F136" t="inlineStr">
        <is>
          <t>HALLANDS LÄN</t>
        </is>
      </c>
      <c r="G136" t="inlineStr">
        <is>
          <t>LAHOLM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64566-2021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46306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64575-2021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46306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46306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67861-2021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44525</v>
      </c>
      <c r="E140" s="1" t="n">
        <v>46306</v>
      </c>
      <c r="F140" t="inlineStr">
        <is>
          <t>HALLANDS LÄN</t>
        </is>
      </c>
      <c r="G140" t="inlineStr">
        <is>
          <t>LAHOLM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46306</v>
      </c>
      <c r="F141" t="inlineStr">
        <is>
          <t>HALLANDS LÄN</t>
        </is>
      </c>
      <c r="G141" t="inlineStr">
        <is>
          <t>LAHOLM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46306</v>
      </c>
      <c r="F142" t="inlineStr">
        <is>
          <t>HALLANDS LÄN</t>
        </is>
      </c>
      <c r="G142" t="inlineStr">
        <is>
          <t>LAHOLM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46306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46306</v>
      </c>
      <c r="F144" t="inlineStr">
        <is>
          <t>HALLANDS LÄN</t>
        </is>
      </c>
      <c r="G144" t="inlineStr">
        <is>
          <t>LAHOLM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46306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46306</v>
      </c>
      <c r="F146" t="inlineStr">
        <is>
          <t>HALLANDS LÄN</t>
        </is>
      </c>
      <c r="G146" t="inlineStr">
        <is>
          <t>LAHOLM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46306</v>
      </c>
      <c r="F147" t="inlineStr">
        <is>
          <t>HALLANDS LÄN</t>
        </is>
      </c>
      <c r="G147" t="inlineStr">
        <is>
          <t>LAHOLM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46306</v>
      </c>
      <c r="F148" t="inlineStr">
        <is>
          <t>HALLANDS LÄN</t>
        </is>
      </c>
      <c r="G148" t="inlineStr">
        <is>
          <t>LAHOLM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46306</v>
      </c>
      <c r="F149" t="inlineStr">
        <is>
          <t>HALLANDS LÄN</t>
        </is>
      </c>
      <c r="G149" t="inlineStr">
        <is>
          <t>LAHOLM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46306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46306</v>
      </c>
      <c r="F151" t="inlineStr">
        <is>
          <t>HALLANDS LÄN</t>
        </is>
      </c>
      <c r="G151" t="inlineStr">
        <is>
          <t>LAHOLM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46306</v>
      </c>
      <c r="F152" t="inlineStr">
        <is>
          <t>HALLANDS LÄN</t>
        </is>
      </c>
      <c r="G152" t="inlineStr">
        <is>
          <t>LAHOLM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46306</v>
      </c>
      <c r="F153" t="inlineStr">
        <is>
          <t>HALLANDS LÄN</t>
        </is>
      </c>
      <c r="G153" t="inlineStr">
        <is>
          <t>LAHOLM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46306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46306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45415</v>
      </c>
      <c r="E156" s="1" t="n">
        <v>46306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46306</v>
      </c>
      <c r="F157" t="inlineStr">
        <is>
          <t>HALLANDS LÄN</t>
        </is>
      </c>
      <c r="G157" t="inlineStr">
        <is>
          <t>LAHOLM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46306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46306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45918</v>
      </c>
      <c r="E160" s="1" t="n">
        <v>46306</v>
      </c>
      <c r="F160" t="inlineStr">
        <is>
          <t>HALLANDS LÄN</t>
        </is>
      </c>
      <c r="G160" t="inlineStr">
        <is>
          <t>LAHOLM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46306</v>
      </c>
      <c r="F161" t="inlineStr">
        <is>
          <t>HALLANDS LÄN</t>
        </is>
      </c>
      <c r="G161" t="inlineStr">
        <is>
          <t>LAHOLM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46306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46306</v>
      </c>
      <c r="F163" t="inlineStr">
        <is>
          <t>HALLANDS LÄN</t>
        </is>
      </c>
      <c r="G163" t="inlineStr">
        <is>
          <t>LAHOLM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46306</v>
      </c>
      <c r="F164" t="inlineStr">
        <is>
          <t>HALLANDS LÄN</t>
        </is>
      </c>
      <c r="G164" t="inlineStr">
        <is>
          <t>LAHOLM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46306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46306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46306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46306</v>
      </c>
      <c r="F168" t="inlineStr">
        <is>
          <t>HALLANDS LÄN</t>
        </is>
      </c>
      <c r="G168" t="inlineStr">
        <is>
          <t>LAHOLM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46306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46306</v>
      </c>
      <c r="F170" t="inlineStr">
        <is>
          <t>HALLANDS LÄN</t>
        </is>
      </c>
      <c r="G170" t="inlineStr">
        <is>
          <t>LAHOLM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45139</v>
      </c>
      <c r="E171" s="1" t="n">
        <v>46306</v>
      </c>
      <c r="F171" t="inlineStr">
        <is>
          <t>HALLANDS LÄN</t>
        </is>
      </c>
      <c r="G171" t="inlineStr">
        <is>
          <t>LAHOLM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45139</v>
      </c>
      <c r="E172" s="1" t="n">
        <v>46306</v>
      </c>
      <c r="F172" t="inlineStr">
        <is>
          <t>HALLANDS LÄN</t>
        </is>
      </c>
      <c r="G172" t="inlineStr">
        <is>
          <t>LAHOLM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46306</v>
      </c>
      <c r="F173" t="inlineStr">
        <is>
          <t>HALLANDS LÄN</t>
        </is>
      </c>
      <c r="G173" t="inlineStr">
        <is>
          <t>LAHOLM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46306</v>
      </c>
      <c r="F174" t="inlineStr">
        <is>
          <t>HALLANDS LÄN</t>
        </is>
      </c>
      <c r="G174" t="inlineStr">
        <is>
          <t>LAHOLM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46306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46306</v>
      </c>
      <c r="F176" t="inlineStr">
        <is>
          <t>HALLANDS LÄN</t>
        </is>
      </c>
      <c r="G176" t="inlineStr">
        <is>
          <t>LAHOLM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46306</v>
      </c>
      <c r="F177" t="inlineStr">
        <is>
          <t>HALLANDS LÄN</t>
        </is>
      </c>
      <c r="G177" t="inlineStr">
        <is>
          <t>LAHOLM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46306</v>
      </c>
      <c r="F178" t="inlineStr">
        <is>
          <t>HALLANDS LÄN</t>
        </is>
      </c>
      <c r="G178" t="inlineStr">
        <is>
          <t>LAHOLM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46306</v>
      </c>
      <c r="F179" t="inlineStr">
        <is>
          <t>HALLANDS LÄN</t>
        </is>
      </c>
      <c r="G179" t="inlineStr">
        <is>
          <t>LAHOLM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46306</v>
      </c>
      <c r="F180" t="inlineStr">
        <is>
          <t>HALLANDS LÄN</t>
        </is>
      </c>
      <c r="G180" t="inlineStr">
        <is>
          <t>LAHOLM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45643</v>
      </c>
      <c r="E181" s="1" t="n">
        <v>46306</v>
      </c>
      <c r="F181" t="inlineStr">
        <is>
          <t>HALLANDS LÄN</t>
        </is>
      </c>
      <c r="G181" t="inlineStr">
        <is>
          <t>LAHOLM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46306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46306</v>
      </c>
      <c r="F183" t="inlineStr">
        <is>
          <t>HALLANDS LÄN</t>
        </is>
      </c>
      <c r="G183" t="inlineStr">
        <is>
          <t>LAHOLM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46306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46306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46306</v>
      </c>
      <c r="F186" t="inlineStr">
        <is>
          <t>HALLANDS LÄN</t>
        </is>
      </c>
      <c r="G186" t="inlineStr">
        <is>
          <t>LAHOLM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45734</v>
      </c>
      <c r="E187" s="1" t="n">
        <v>46306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46306</v>
      </c>
      <c r="F188" t="inlineStr">
        <is>
          <t>HALLANDS LÄN</t>
        </is>
      </c>
      <c r="G188" t="inlineStr">
        <is>
          <t>LAHOLM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46306</v>
      </c>
      <c r="F189" t="inlineStr">
        <is>
          <t>HALLANDS LÄN</t>
        </is>
      </c>
      <c r="G189" t="inlineStr">
        <is>
          <t>LAHOLM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46306</v>
      </c>
      <c r="F190" t="inlineStr">
        <is>
          <t>HALLANDS LÄN</t>
        </is>
      </c>
      <c r="G190" t="inlineStr">
        <is>
          <t>LAHOLM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46306</v>
      </c>
      <c r="F191" t="inlineStr">
        <is>
          <t>HALLANDS LÄN</t>
        </is>
      </c>
      <c r="G191" t="inlineStr">
        <is>
          <t>LAHOLM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46306</v>
      </c>
      <c r="F192" t="inlineStr">
        <is>
          <t>HALLANDS LÄN</t>
        </is>
      </c>
      <c r="G192" t="inlineStr">
        <is>
          <t>LAHOLM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46306</v>
      </c>
      <c r="F193" t="inlineStr">
        <is>
          <t>HALLANDS LÄN</t>
        </is>
      </c>
      <c r="G193" t="inlineStr">
        <is>
          <t>LAHOLM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45587</v>
      </c>
      <c r="E194" s="1" t="n">
        <v>46306</v>
      </c>
      <c r="F194" t="inlineStr">
        <is>
          <t>HALLANDS LÄN</t>
        </is>
      </c>
      <c r="G194" t="inlineStr">
        <is>
          <t>LAHOLM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46306</v>
      </c>
      <c r="F195" t="inlineStr">
        <is>
          <t>HALLANDS LÄN</t>
        </is>
      </c>
      <c r="G195" t="inlineStr">
        <is>
          <t>LAHOLM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46306</v>
      </c>
      <c r="F196" t="inlineStr">
        <is>
          <t>HALLANDS LÄN</t>
        </is>
      </c>
      <c r="G196" t="inlineStr">
        <is>
          <t>LAHOLM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46306</v>
      </c>
      <c r="F197" t="inlineStr">
        <is>
          <t>HALLANDS LÄN</t>
        </is>
      </c>
      <c r="G197" t="inlineStr">
        <is>
          <t>LAHOLM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46306</v>
      </c>
      <c r="F198" t="inlineStr">
        <is>
          <t>HALLANDS LÄN</t>
        </is>
      </c>
      <c r="G198" t="inlineStr">
        <is>
          <t>LAHOLM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46306</v>
      </c>
      <c r="F199" t="inlineStr">
        <is>
          <t>HALLANDS LÄN</t>
        </is>
      </c>
      <c r="G199" t="inlineStr">
        <is>
          <t>LAHOLM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46306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46306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46306</v>
      </c>
      <c r="F202" t="inlineStr">
        <is>
          <t>HALLANDS LÄN</t>
        </is>
      </c>
      <c r="G202" t="inlineStr">
        <is>
          <t>LAHOLM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69589-2021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46306</v>
      </c>
      <c r="F203" t="inlineStr">
        <is>
          <t>HALLANDS LÄN</t>
        </is>
      </c>
      <c r="G203" t="inlineStr">
        <is>
          <t>LAHOLM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46306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46306</v>
      </c>
      <c r="F205" t="inlineStr">
        <is>
          <t>HALLANDS LÄN</t>
        </is>
      </c>
      <c r="G205" t="inlineStr">
        <is>
          <t>LAHOLM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46306</v>
      </c>
      <c r="F206" t="inlineStr">
        <is>
          <t>HALLANDS LÄN</t>
        </is>
      </c>
      <c r="G206" t="inlineStr">
        <is>
          <t>LAHOLM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46306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46306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46306</v>
      </c>
      <c r="F209" t="inlineStr">
        <is>
          <t>HALLANDS LÄN</t>
        </is>
      </c>
      <c r="G209" t="inlineStr">
        <is>
          <t>LAHOLM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46306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Aktiebolag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46306</v>
      </c>
      <c r="F211" t="inlineStr">
        <is>
          <t>HALLANDS LÄN</t>
        </is>
      </c>
      <c r="G211" t="inlineStr">
        <is>
          <t>LAHOLM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46306</v>
      </c>
      <c r="F212" t="inlineStr">
        <is>
          <t>HALLANDS LÄN</t>
        </is>
      </c>
      <c r="G212" t="inlineStr">
        <is>
          <t>LAHOLM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45132</v>
      </c>
      <c r="E213" s="1" t="n">
        <v>46306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46306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45171</v>
      </c>
      <c r="E215" s="1" t="n">
        <v>46306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46306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46306</v>
      </c>
      <c r="F217" t="inlineStr">
        <is>
          <t>HALLANDS LÄN</t>
        </is>
      </c>
      <c r="G217" t="inlineStr">
        <is>
          <t>LAHOLM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45179</v>
      </c>
      <c r="E218" s="1" t="n">
        <v>46306</v>
      </c>
      <c r="F218" t="inlineStr">
        <is>
          <t>HALLANDS LÄN</t>
        </is>
      </c>
      <c r="G218" t="inlineStr">
        <is>
          <t>LAHOLM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46306</v>
      </c>
      <c r="F219" t="inlineStr">
        <is>
          <t>HALLANDS LÄN</t>
        </is>
      </c>
      <c r="G219" t="inlineStr">
        <is>
          <t>LAHOLM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46306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46306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46306</v>
      </c>
      <c r="F222" t="inlineStr">
        <is>
          <t>HALLANDS LÄN</t>
        </is>
      </c>
      <c r="G222" t="inlineStr">
        <is>
          <t>LAHOLM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46306</v>
      </c>
      <c r="F223" t="inlineStr">
        <is>
          <t>HALLANDS LÄN</t>
        </is>
      </c>
      <c r="G223" t="inlineStr">
        <is>
          <t>LAHOLM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46306</v>
      </c>
      <c r="F224" t="inlineStr">
        <is>
          <t>HALLANDS LÄN</t>
        </is>
      </c>
      <c r="G224" t="inlineStr">
        <is>
          <t>LAHOLM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46306</v>
      </c>
      <c r="F225" t="inlineStr">
        <is>
          <t>HALLANDS LÄN</t>
        </is>
      </c>
      <c r="G225" t="inlineStr">
        <is>
          <t>LAHOLM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44753</v>
      </c>
      <c r="E226" s="1" t="n">
        <v>46306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46306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45171</v>
      </c>
      <c r="E228" s="1" t="n">
        <v>46306</v>
      </c>
      <c r="F228" t="inlineStr">
        <is>
          <t>HALLANDS LÄN</t>
        </is>
      </c>
      <c r="G228" t="inlineStr">
        <is>
          <t>LAHOLM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46306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46306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46306</v>
      </c>
      <c r="F231" t="inlineStr">
        <is>
          <t>HALLANDS LÄN</t>
        </is>
      </c>
      <c r="G231" t="inlineStr">
        <is>
          <t>LAHOLM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46306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46306</v>
      </c>
      <c r="F233" t="inlineStr">
        <is>
          <t>HALLANDS LÄN</t>
        </is>
      </c>
      <c r="G233" t="inlineStr">
        <is>
          <t>LAHOLM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46306</v>
      </c>
      <c r="F234" t="inlineStr">
        <is>
          <t>HALLANDS LÄN</t>
        </is>
      </c>
      <c r="G234" t="inlineStr">
        <is>
          <t>LAHOLM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46306</v>
      </c>
      <c r="F235" t="inlineStr">
        <is>
          <t>HALLANDS LÄN</t>
        </is>
      </c>
      <c r="G235" t="inlineStr">
        <is>
          <t>LAHOLM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46306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46306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46306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46306</v>
      </c>
      <c r="F239" t="inlineStr">
        <is>
          <t>HALLANDS LÄN</t>
        </is>
      </c>
      <c r="G239" t="inlineStr">
        <is>
          <t>LAHOLM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46306</v>
      </c>
      <c r="F240" t="inlineStr">
        <is>
          <t>HALLANDS LÄN</t>
        </is>
      </c>
      <c r="G240" t="inlineStr">
        <is>
          <t>LAHOLM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46306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46306</v>
      </c>
      <c r="F242" t="inlineStr">
        <is>
          <t>HALLANDS LÄN</t>
        </is>
      </c>
      <c r="G242" t="inlineStr">
        <is>
          <t>LAHOLM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45299</v>
      </c>
      <c r="E243" s="1" t="n">
        <v>46306</v>
      </c>
      <c r="F243" t="inlineStr">
        <is>
          <t>HALLANDS LÄN</t>
        </is>
      </c>
      <c r="G243" t="inlineStr">
        <is>
          <t>LAHOLM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45843</v>
      </c>
      <c r="E244" s="1" t="n">
        <v>46306</v>
      </c>
      <c r="F244" t="inlineStr">
        <is>
          <t>HALLANDS LÄN</t>
        </is>
      </c>
      <c r="G244" t="inlineStr">
        <is>
          <t>LAHOLM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45314</v>
      </c>
      <c r="E245" s="1" t="n">
        <v>46306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46306</v>
      </c>
      <c r="F246" t="inlineStr">
        <is>
          <t>HALLANDS LÄN</t>
        </is>
      </c>
      <c r="G246" t="inlineStr">
        <is>
          <t>LAHOLM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46306</v>
      </c>
      <c r="F247" t="inlineStr">
        <is>
          <t>HALLANDS LÄN</t>
        </is>
      </c>
      <c r="G247" t="inlineStr">
        <is>
          <t>LAHOLM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46306</v>
      </c>
      <c r="F248" t="inlineStr">
        <is>
          <t>HALLANDS LÄN</t>
        </is>
      </c>
      <c r="G248" t="inlineStr">
        <is>
          <t>LAHOLM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46306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46306</v>
      </c>
      <c r="F250" t="inlineStr">
        <is>
          <t>HALLANDS LÄN</t>
        </is>
      </c>
      <c r="G250" t="inlineStr">
        <is>
          <t>LAHOLM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46306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44677</v>
      </c>
      <c r="E252" s="1" t="n">
        <v>46306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46306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45693</v>
      </c>
      <c r="E254" s="1" t="n">
        <v>46306</v>
      </c>
      <c r="F254" t="inlineStr">
        <is>
          <t>HALLANDS LÄN</t>
        </is>
      </c>
      <c r="G254" t="inlineStr">
        <is>
          <t>LAHOLM</t>
        </is>
      </c>
      <c r="H254" t="inlineStr">
        <is>
          <t>Naturvårdsverket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45215</v>
      </c>
      <c r="E255" s="1" t="n">
        <v>46306</v>
      </c>
      <c r="F255" t="inlineStr">
        <is>
          <t>HALLANDS LÄN</t>
        </is>
      </c>
      <c r="G255" t="inlineStr">
        <is>
          <t>LAHOLM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46306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46306</v>
      </c>
      <c r="F257" t="inlineStr">
        <is>
          <t>HALLANDS LÄN</t>
        </is>
      </c>
      <c r="G257" t="inlineStr">
        <is>
          <t>LAHOLM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46306</v>
      </c>
      <c r="F258" t="inlineStr">
        <is>
          <t>HALLANDS LÄN</t>
        </is>
      </c>
      <c r="G258" t="inlineStr">
        <is>
          <t>LAHOLM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46306</v>
      </c>
      <c r="F259" t="inlineStr">
        <is>
          <t>HALLANDS LÄN</t>
        </is>
      </c>
      <c r="G259" t="inlineStr">
        <is>
          <t>LAHOLM</t>
        </is>
      </c>
      <c r="H259" t="inlineStr">
        <is>
          <t>Övriga statliga verk och myndigheter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46306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45131</v>
      </c>
      <c r="E261" s="1" t="n">
        <v>46306</v>
      </c>
      <c r="F261" t="inlineStr">
        <is>
          <t>HALLANDS LÄN</t>
        </is>
      </c>
      <c r="G261" t="inlineStr">
        <is>
          <t>LAHOLM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45802</v>
      </c>
      <c r="E262" s="1" t="n">
        <v>46306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46306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46306</v>
      </c>
      <c r="F264" t="inlineStr">
        <is>
          <t>HALLANDS LÄN</t>
        </is>
      </c>
      <c r="G264" t="inlineStr">
        <is>
          <t>LAHOLM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46306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44764</v>
      </c>
      <c r="E266" s="1" t="n">
        <v>46306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46306</v>
      </c>
      <c r="F267" t="inlineStr">
        <is>
          <t>HALLANDS LÄN</t>
        </is>
      </c>
      <c r="G267" t="inlineStr">
        <is>
          <t>LAHOLM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58557-2022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46306</v>
      </c>
      <c r="F268" t="inlineStr">
        <is>
          <t>HALLANDS LÄN</t>
        </is>
      </c>
      <c r="G268" t="inlineStr">
        <is>
          <t>LAHOLM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46306</v>
      </c>
      <c r="F269" t="inlineStr">
        <is>
          <t>HALLANDS LÄN</t>
        </is>
      </c>
      <c r="G269" t="inlineStr">
        <is>
          <t>LAHOLM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46306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46306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46306</v>
      </c>
      <c r="F272" t="inlineStr">
        <is>
          <t>HALLANDS LÄN</t>
        </is>
      </c>
      <c r="G272" t="inlineStr">
        <is>
          <t>LAHOLM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46306</v>
      </c>
      <c r="F273" t="inlineStr">
        <is>
          <t>HALLANDS LÄN</t>
        </is>
      </c>
      <c r="G273" t="inlineStr">
        <is>
          <t>LAHOLM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46306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46306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46306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46306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44517</v>
      </c>
      <c r="E278" s="1" t="n">
        <v>46306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46306</v>
      </c>
      <c r="F279" t="inlineStr">
        <is>
          <t>HALLANDS LÄN</t>
        </is>
      </c>
      <c r="G279" t="inlineStr">
        <is>
          <t>LAHOLM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46306</v>
      </c>
      <c r="F280" t="inlineStr">
        <is>
          <t>HALLANDS LÄN</t>
        </is>
      </c>
      <c r="G280" t="inlineStr">
        <is>
          <t>LAHOLM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45450</v>
      </c>
      <c r="E281" s="1" t="n">
        <v>46306</v>
      </c>
      <c r="F281" t="inlineStr">
        <is>
          <t>HALLANDS LÄN</t>
        </is>
      </c>
      <c r="G281" t="inlineStr">
        <is>
          <t>LAHOLM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46306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39903-2023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45168</v>
      </c>
      <c r="E283" s="1" t="n">
        <v>46306</v>
      </c>
      <c r="F283" t="inlineStr">
        <is>
          <t>HALLANDS LÄN</t>
        </is>
      </c>
      <c r="G283" t="inlineStr">
        <is>
          <t>LAHOLM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46306</v>
      </c>
      <c r="F284" t="inlineStr">
        <is>
          <t>HALLANDS LÄN</t>
        </is>
      </c>
      <c r="G284" t="inlineStr">
        <is>
          <t>LAHOLM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46306</v>
      </c>
      <c r="F285" t="inlineStr">
        <is>
          <t>HALLANDS LÄN</t>
        </is>
      </c>
      <c r="G285" t="inlineStr">
        <is>
          <t>LAHOLM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46306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46306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46306</v>
      </c>
      <c r="F288" t="inlineStr">
        <is>
          <t>HALLANDS LÄN</t>
        </is>
      </c>
      <c r="G288" t="inlineStr">
        <is>
          <t>LAHOLM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46306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46306</v>
      </c>
      <c r="F290" t="inlineStr">
        <is>
          <t>HALLANDS LÄN</t>
        </is>
      </c>
      <c r="G290" t="inlineStr">
        <is>
          <t>LAHOLM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46306</v>
      </c>
      <c r="F291" t="inlineStr">
        <is>
          <t>HALLANDS LÄN</t>
        </is>
      </c>
      <c r="G291" t="inlineStr">
        <is>
          <t>LAHOLM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46306</v>
      </c>
      <c r="F292" t="inlineStr">
        <is>
          <t>HALLANDS LÄN</t>
        </is>
      </c>
      <c r="G292" t="inlineStr">
        <is>
          <t>LAHOLM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46306</v>
      </c>
      <c r="F293" t="inlineStr">
        <is>
          <t>HALLANDS LÄN</t>
        </is>
      </c>
      <c r="G293" t="inlineStr">
        <is>
          <t>LAHOLM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44483</v>
      </c>
      <c r="E294" s="1" t="n">
        <v>46306</v>
      </c>
      <c r="F294" t="inlineStr">
        <is>
          <t>HALLANDS LÄN</t>
        </is>
      </c>
      <c r="G294" t="inlineStr">
        <is>
          <t>LAHOLM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46306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46306</v>
      </c>
      <c r="F296" t="inlineStr">
        <is>
          <t>HALLANDS LÄN</t>
        </is>
      </c>
      <c r="G296" t="inlineStr">
        <is>
          <t>LAHOLM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46306</v>
      </c>
      <c r="F297" t="inlineStr">
        <is>
          <t>HALLANDS LÄN</t>
        </is>
      </c>
      <c r="G297" t="inlineStr">
        <is>
          <t>LAHOLM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46306</v>
      </c>
      <c r="F298" t="inlineStr">
        <is>
          <t>HALLANDS LÄN</t>
        </is>
      </c>
      <c r="G298" t="inlineStr">
        <is>
          <t>LAHOLM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45555</v>
      </c>
      <c r="E299" s="1" t="n">
        <v>46306</v>
      </c>
      <c r="F299" t="inlineStr">
        <is>
          <t>HALLANDS LÄN</t>
        </is>
      </c>
      <c r="G299" t="inlineStr">
        <is>
          <t>LAHOLM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46306</v>
      </c>
      <c r="F300" t="inlineStr">
        <is>
          <t>HALLANDS LÄN</t>
        </is>
      </c>
      <c r="G300" t="inlineStr">
        <is>
          <t>LAHOLM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46306</v>
      </c>
      <c r="F301" t="inlineStr">
        <is>
          <t>HALLANDS LÄN</t>
        </is>
      </c>
      <c r="G301" t="inlineStr">
        <is>
          <t>LAHOLM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46306</v>
      </c>
      <c r="F302" t="inlineStr">
        <is>
          <t>HALLANDS LÄN</t>
        </is>
      </c>
      <c r="G302" t="inlineStr">
        <is>
          <t>LAHOLM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46306</v>
      </c>
      <c r="F303" t="inlineStr">
        <is>
          <t>HALLANDS LÄN</t>
        </is>
      </c>
      <c r="G303" t="inlineStr">
        <is>
          <t>LAHOLM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45635</v>
      </c>
      <c r="E304" s="1" t="n">
        <v>46306</v>
      </c>
      <c r="F304" t="inlineStr">
        <is>
          <t>HALLANDS LÄN</t>
        </is>
      </c>
      <c r="G304" t="inlineStr">
        <is>
          <t>LAHOLM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46306</v>
      </c>
      <c r="F305" t="inlineStr">
        <is>
          <t>HALLANDS LÄN</t>
        </is>
      </c>
      <c r="G305" t="inlineStr">
        <is>
          <t>LAHOLM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46306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46306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46306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46306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46306</v>
      </c>
      <c r="F310" t="inlineStr">
        <is>
          <t>HALLANDS LÄN</t>
        </is>
      </c>
      <c r="G310" t="inlineStr">
        <is>
          <t>LAHOLM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44977</v>
      </c>
      <c r="E311" s="1" t="n">
        <v>46306</v>
      </c>
      <c r="F311" t="inlineStr">
        <is>
          <t>HALLANDS LÄN</t>
        </is>
      </c>
      <c r="G311" t="inlineStr">
        <is>
          <t>LAHOLM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46306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46306</v>
      </c>
      <c r="F313" t="inlineStr">
        <is>
          <t>HALLANDS LÄN</t>
        </is>
      </c>
      <c r="G313" t="inlineStr">
        <is>
          <t>LAHOLM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46306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46306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46306</v>
      </c>
      <c r="F316" t="inlineStr">
        <is>
          <t>HALLANDS LÄN</t>
        </is>
      </c>
      <c r="G316" t="inlineStr">
        <is>
          <t>LAHOLM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46306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46306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46306</v>
      </c>
      <c r="F319" t="inlineStr">
        <is>
          <t>HALLANDS LÄN</t>
        </is>
      </c>
      <c r="G319" t="inlineStr">
        <is>
          <t>LAHOLM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46306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45687</v>
      </c>
      <c r="E321" s="1" t="n">
        <v>46306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13998-2026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46098</v>
      </c>
      <c r="E322" s="1" t="n">
        <v>46306</v>
      </c>
      <c r="F322" t="inlineStr">
        <is>
          <t>HALLANDS LÄN</t>
        </is>
      </c>
      <c r="G322" t="inlineStr">
        <is>
          <t>LAHOLM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46306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44901</v>
      </c>
      <c r="E324" s="1" t="n">
        <v>46306</v>
      </c>
      <c r="F324" t="inlineStr">
        <is>
          <t>HALLANDS LÄN</t>
        </is>
      </c>
      <c r="G324" t="inlineStr">
        <is>
          <t>LAHOLM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46306</v>
      </c>
      <c r="F325" t="inlineStr">
        <is>
          <t>HALLANDS LÄN</t>
        </is>
      </c>
      <c r="G325" t="inlineStr">
        <is>
          <t>LAHOLM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45054</v>
      </c>
      <c r="E326" s="1" t="n">
        <v>46306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54385-2022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46306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46306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46306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46306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46306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44603</v>
      </c>
      <c r="E332" s="1" t="n">
        <v>46306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46306</v>
      </c>
      <c r="F333" t="inlineStr">
        <is>
          <t>HALLANDS LÄN</t>
        </is>
      </c>
      <c r="G333" t="inlineStr">
        <is>
          <t>LAHOLM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46306</v>
      </c>
      <c r="F334" t="inlineStr">
        <is>
          <t>HALLANDS LÄN</t>
        </is>
      </c>
      <c r="G334" t="inlineStr">
        <is>
          <t>LAHOLM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46306</v>
      </c>
      <c r="F335" t="inlineStr">
        <is>
          <t>HALLANDS LÄN</t>
        </is>
      </c>
      <c r="G335" t="inlineStr">
        <is>
          <t>LAHOLM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46306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46306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39465-2023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45166</v>
      </c>
      <c r="E338" s="1" t="n">
        <v>46306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45327</v>
      </c>
      <c r="E339" s="1" t="n">
        <v>46306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46306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46306</v>
      </c>
      <c r="F341" t="inlineStr">
        <is>
          <t>HALLANDS LÄN</t>
        </is>
      </c>
      <c r="G341" t="inlineStr">
        <is>
          <t>LAHOLM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46306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46306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46306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46306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46306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46306</v>
      </c>
      <c r="F347" t="inlineStr">
        <is>
          <t>HALLANDS LÄN</t>
        </is>
      </c>
      <c r="G347" t="inlineStr">
        <is>
          <t>LAHOLM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46306</v>
      </c>
      <c r="F348" t="inlineStr">
        <is>
          <t>HALLANDS LÄN</t>
        </is>
      </c>
      <c r="G348" t="inlineStr">
        <is>
          <t>LAHOLM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46306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44774</v>
      </c>
      <c r="E350" s="1" t="n">
        <v>46306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46306</v>
      </c>
      <c r="F351" t="inlineStr">
        <is>
          <t>HALLANDS LÄN</t>
        </is>
      </c>
      <c r="G351" t="inlineStr">
        <is>
          <t>LAHOLM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46306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46306</v>
      </c>
      <c r="F353" t="inlineStr">
        <is>
          <t>HALLANDS LÄN</t>
        </is>
      </c>
      <c r="G353" t="inlineStr">
        <is>
          <t>LAHOLM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61711-2021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46306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46306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46306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46306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46306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46306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46306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46306</v>
      </c>
      <c r="F361" t="inlineStr">
        <is>
          <t>HALLANDS LÄN</t>
        </is>
      </c>
      <c r="G361" t="inlineStr">
        <is>
          <t>LAHOLM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45027</v>
      </c>
      <c r="E362" s="1" t="n">
        <v>46306</v>
      </c>
      <c r="F362" t="inlineStr">
        <is>
          <t>HALLANDS LÄN</t>
        </is>
      </c>
      <c r="G362" t="inlineStr">
        <is>
          <t>LAHOLM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44726</v>
      </c>
      <c r="E363" s="1" t="n">
        <v>46306</v>
      </c>
      <c r="F363" t="inlineStr">
        <is>
          <t>HALLANDS LÄN</t>
        </is>
      </c>
      <c r="G363" t="inlineStr">
        <is>
          <t>LAHOLM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44726</v>
      </c>
      <c r="E364" s="1" t="n">
        <v>46306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45035</v>
      </c>
      <c r="E365" s="1" t="n">
        <v>46306</v>
      </c>
      <c r="F365" t="inlineStr">
        <is>
          <t>HALLANDS LÄN</t>
        </is>
      </c>
      <c r="G365" t="inlineStr">
        <is>
          <t>LAHOLM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46306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46306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46306</v>
      </c>
      <c r="F368" t="inlineStr">
        <is>
          <t>HALLANDS LÄN</t>
        </is>
      </c>
      <c r="G368" t="inlineStr">
        <is>
          <t>LAHOLM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46306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45658</v>
      </c>
      <c r="E370" s="1" t="n">
        <v>46306</v>
      </c>
      <c r="F370" t="inlineStr">
        <is>
          <t>HALLANDS LÄN</t>
        </is>
      </c>
      <c r="G370" t="inlineStr">
        <is>
          <t>LAHOLM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46306</v>
      </c>
      <c r="F371" t="inlineStr">
        <is>
          <t>HALLANDS LÄN</t>
        </is>
      </c>
      <c r="G371" t="inlineStr">
        <is>
          <t>LAHOLM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46306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46306</v>
      </c>
      <c r="F373" t="inlineStr">
        <is>
          <t>HALLANDS LÄN</t>
        </is>
      </c>
      <c r="G373" t="inlineStr">
        <is>
          <t>LAHOLM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46306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45812</v>
      </c>
      <c r="E375" s="1" t="n">
        <v>46306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46306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45320</v>
      </c>
      <c r="E377" s="1" t="n">
        <v>46306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46038</v>
      </c>
      <c r="E378" s="1" t="n">
        <v>46306</v>
      </c>
      <c r="F378" t="inlineStr">
        <is>
          <t>HALLANDS LÄN</t>
        </is>
      </c>
      <c r="G378" t="inlineStr">
        <is>
          <t>LAHOLM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46306</v>
      </c>
      <c r="F379" t="inlineStr">
        <is>
          <t>HALLANDS LÄN</t>
        </is>
      </c>
      <c r="G379" t="inlineStr">
        <is>
          <t>LAHOLM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46306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46306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45644</v>
      </c>
      <c r="E382" s="1" t="n">
        <v>46306</v>
      </c>
      <c r="F382" t="inlineStr">
        <is>
          <t>HALLANDS LÄN</t>
        </is>
      </c>
      <c r="G382" t="inlineStr">
        <is>
          <t>LAHOLM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46306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46306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46306</v>
      </c>
      <c r="F385" t="inlineStr">
        <is>
          <t>HALLANDS LÄN</t>
        </is>
      </c>
      <c r="G385" t="inlineStr">
        <is>
          <t>LAHOLM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45327</v>
      </c>
      <c r="E386" s="1" t="n">
        <v>46306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44810</v>
      </c>
      <c r="E387" s="1" t="n">
        <v>46306</v>
      </c>
      <c r="F387" t="inlineStr">
        <is>
          <t>HALLANDS LÄN</t>
        </is>
      </c>
      <c r="G387" t="inlineStr">
        <is>
          <t>LAHOLM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45057</v>
      </c>
      <c r="E388" s="1" t="n">
        <v>46306</v>
      </c>
      <c r="F388" t="inlineStr">
        <is>
          <t>HALLANDS LÄN</t>
        </is>
      </c>
      <c r="G388" t="inlineStr">
        <is>
          <t>LAHOLM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46306</v>
      </c>
      <c r="F389" t="inlineStr">
        <is>
          <t>HALLANDS LÄN</t>
        </is>
      </c>
      <c r="G389" t="inlineStr">
        <is>
          <t>LAHOLM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46306</v>
      </c>
      <c r="F390" t="inlineStr">
        <is>
          <t>HALLANDS LÄN</t>
        </is>
      </c>
      <c r="G390" t="inlineStr">
        <is>
          <t>LAHOLM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46306</v>
      </c>
      <c r="F391" t="inlineStr">
        <is>
          <t>HALLANDS LÄN</t>
        </is>
      </c>
      <c r="G391" t="inlineStr">
        <is>
          <t>LAHOLM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46306</v>
      </c>
      <c r="F392" t="inlineStr">
        <is>
          <t>HALLANDS LÄN</t>
        </is>
      </c>
      <c r="G392" t="inlineStr">
        <is>
          <t>LAHOLM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46306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46306</v>
      </c>
      <c r="F394" t="inlineStr">
        <is>
          <t>HALLANDS LÄN</t>
        </is>
      </c>
      <c r="G394" t="inlineStr">
        <is>
          <t>LAHOLM</t>
        </is>
      </c>
      <c r="H394" t="inlineStr">
        <is>
          <t>Kyrkan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46306</v>
      </c>
      <c r="F395" t="inlineStr">
        <is>
          <t>HALLANDS LÄN</t>
        </is>
      </c>
      <c r="G395" t="inlineStr">
        <is>
          <t>LAHOLM</t>
        </is>
      </c>
      <c r="H395" t="inlineStr">
        <is>
          <t>Kyrkan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46142</v>
      </c>
      <c r="E396" s="1" t="n">
        <v>46306</v>
      </c>
      <c r="F396" t="inlineStr">
        <is>
          <t>HALLANDS LÄN</t>
        </is>
      </c>
      <c r="G396" t="inlineStr">
        <is>
          <t>LAHOLM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46306</v>
      </c>
      <c r="F397" t="inlineStr">
        <is>
          <t>HALLANDS LÄN</t>
        </is>
      </c>
      <c r="G397" t="inlineStr">
        <is>
          <t>LAHOLM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46151</v>
      </c>
      <c r="E398" s="1" t="n">
        <v>46306</v>
      </c>
      <c r="F398" t="inlineStr">
        <is>
          <t>HALLANDS LÄN</t>
        </is>
      </c>
      <c r="G398" t="inlineStr">
        <is>
          <t>LAHOLM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46306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46306</v>
      </c>
      <c r="F400" t="inlineStr">
        <is>
          <t>HALLANDS LÄN</t>
        </is>
      </c>
      <c r="G400" t="inlineStr">
        <is>
          <t>LAHOLM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46306</v>
      </c>
      <c r="F401" t="inlineStr">
        <is>
          <t>HALLANDS LÄN</t>
        </is>
      </c>
      <c r="G401" t="inlineStr">
        <is>
          <t>LAHOLM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46306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46093</v>
      </c>
      <c r="E403" s="1" t="n">
        <v>46306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46306</v>
      </c>
      <c r="F404" t="inlineStr">
        <is>
          <t>HALLANDS LÄN</t>
        </is>
      </c>
      <c r="G404" t="inlineStr">
        <is>
          <t>LAHOLM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45614</v>
      </c>
      <c r="E405" s="1" t="n">
        <v>46306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46306</v>
      </c>
      <c r="F406" t="inlineStr">
        <is>
          <t>HALLANDS LÄN</t>
        </is>
      </c>
      <c r="G406" t="inlineStr">
        <is>
          <t>LAHOLM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46306</v>
      </c>
      <c r="F407" t="inlineStr">
        <is>
          <t>HALLANDS LÄN</t>
        </is>
      </c>
      <c r="G407" t="inlineStr">
        <is>
          <t>LAHOLM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46306</v>
      </c>
      <c r="F408" t="inlineStr">
        <is>
          <t>HALLANDS LÄN</t>
        </is>
      </c>
      <c r="G408" t="inlineStr">
        <is>
          <t>LAHOLM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46306</v>
      </c>
      <c r="F409" t="inlineStr">
        <is>
          <t>HALLANDS LÄN</t>
        </is>
      </c>
      <c r="G409" t="inlineStr">
        <is>
          <t>LAHOLM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46306</v>
      </c>
      <c r="F410" t="inlineStr">
        <is>
          <t>HALLANDS LÄN</t>
        </is>
      </c>
      <c r="G410" t="inlineStr">
        <is>
          <t>LAHOLM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46306</v>
      </c>
      <c r="F411" t="inlineStr">
        <is>
          <t>HALLANDS LÄN</t>
        </is>
      </c>
      <c r="G411" t="inlineStr">
        <is>
          <t>LAHOLM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46306</v>
      </c>
      <c r="F412" t="inlineStr">
        <is>
          <t>HALLANDS LÄN</t>
        </is>
      </c>
      <c r="G412" t="inlineStr">
        <is>
          <t>LAHOLM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27223-2026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46184</v>
      </c>
      <c r="E413" s="1" t="n">
        <v>46306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46306</v>
      </c>
      <c r="F414" t="inlineStr">
        <is>
          <t>HALLANDS LÄN</t>
        </is>
      </c>
      <c r="G414" t="inlineStr">
        <is>
          <t>LAHOLM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46306</v>
      </c>
      <c r="F415" t="inlineStr">
        <is>
          <t>HALLANDS LÄN</t>
        </is>
      </c>
      <c r="G415" t="inlineStr">
        <is>
          <t>LAHOLM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46306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46306</v>
      </c>
      <c r="F417" t="inlineStr">
        <is>
          <t>HALLANDS LÄN</t>
        </is>
      </c>
      <c r="G417" t="inlineStr">
        <is>
          <t>LAHOLM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46306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46306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46306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46306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46306</v>
      </c>
      <c r="F422" t="inlineStr">
        <is>
          <t>HALLANDS LÄN</t>
        </is>
      </c>
      <c r="G422" t="inlineStr">
        <is>
          <t>LAHOLM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46306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46306</v>
      </c>
      <c r="F424" t="inlineStr">
        <is>
          <t>HALLANDS LÄN</t>
        </is>
      </c>
      <c r="G424" t="inlineStr">
        <is>
          <t>LAHOLM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46306</v>
      </c>
      <c r="F425" t="inlineStr">
        <is>
          <t>HALLANDS LÄN</t>
        </is>
      </c>
      <c r="G425" t="inlineStr">
        <is>
          <t>LAHOLM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46306</v>
      </c>
      <c r="F426" t="inlineStr">
        <is>
          <t>HALLANDS LÄN</t>
        </is>
      </c>
      <c r="G426" t="inlineStr">
        <is>
          <t>LAHOLM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46306</v>
      </c>
      <c r="F427" t="inlineStr">
        <is>
          <t>HALLANDS LÄN</t>
        </is>
      </c>
      <c r="G427" t="inlineStr">
        <is>
          <t>LAHOLM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46306</v>
      </c>
      <c r="F428" t="inlineStr">
        <is>
          <t>HALLANDS LÄN</t>
        </is>
      </c>
      <c r="G428" t="inlineStr">
        <is>
          <t>LAHOLM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46306</v>
      </c>
      <c r="F429" t="inlineStr">
        <is>
          <t>HALLANDS LÄN</t>
        </is>
      </c>
      <c r="G429" t="inlineStr">
        <is>
          <t>LAHOLM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46306</v>
      </c>
      <c r="F430" t="inlineStr">
        <is>
          <t>HALLANDS LÄN</t>
        </is>
      </c>
      <c r="G430" t="inlineStr">
        <is>
          <t>LAHOLM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46306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46306</v>
      </c>
      <c r="F432" t="inlineStr">
        <is>
          <t>HALLANDS LÄN</t>
        </is>
      </c>
      <c r="G432" t="inlineStr">
        <is>
          <t>LAHOLM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46306</v>
      </c>
      <c r="F433" t="inlineStr">
        <is>
          <t>HALLANDS LÄN</t>
        </is>
      </c>
      <c r="G433" t="inlineStr">
        <is>
          <t>LAHOLM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46306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46306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46306</v>
      </c>
      <c r="F436" t="inlineStr">
        <is>
          <t>HALLANDS LÄN</t>
        </is>
      </c>
      <c r="G436" t="inlineStr">
        <is>
          <t>LAHOLM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46306</v>
      </c>
      <c r="F437" t="inlineStr">
        <is>
          <t>HALLANDS LÄN</t>
        </is>
      </c>
      <c r="G437" t="inlineStr">
        <is>
          <t>LAHOLM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46306</v>
      </c>
      <c r="F438" t="inlineStr">
        <is>
          <t>HALLANDS LÄN</t>
        </is>
      </c>
      <c r="G438" t="inlineStr">
        <is>
          <t>LAHOLM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46306</v>
      </c>
      <c r="F439" t="inlineStr">
        <is>
          <t>HALLANDS LÄN</t>
        </is>
      </c>
      <c r="G439" t="inlineStr">
        <is>
          <t>LAHOLM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46306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46306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46246</v>
      </c>
      <c r="E442" s="1" t="n">
        <v>46306</v>
      </c>
      <c r="F442" t="inlineStr">
        <is>
          <t>HALLANDS LÄN</t>
        </is>
      </c>
      <c r="G442" t="inlineStr">
        <is>
          <t>LAHOLM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46306</v>
      </c>
      <c r="F443" t="inlineStr">
        <is>
          <t>HALLANDS LÄN</t>
        </is>
      </c>
      <c r="G443" t="inlineStr">
        <is>
          <t>LAHOLM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46290</v>
      </c>
      <c r="E444" s="1" t="n">
        <v>46306</v>
      </c>
      <c r="F444" t="inlineStr">
        <is>
          <t>HALLANDS LÄN</t>
        </is>
      </c>
      <c r="G444" t="inlineStr">
        <is>
          <t>LAHOLM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46306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46306</v>
      </c>
      <c r="F446" t="inlineStr">
        <is>
          <t>HALLANDS LÄN</t>
        </is>
      </c>
      <c r="G446" t="inlineStr">
        <is>
          <t>LAHOLM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46306</v>
      </c>
      <c r="F447" t="inlineStr">
        <is>
          <t>HALLANDS LÄN</t>
        </is>
      </c>
      <c r="G447" t="inlineStr">
        <is>
          <t>LAHOLM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46306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46306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46306</v>
      </c>
      <c r="F450" t="inlineStr">
        <is>
          <t>HALLANDS LÄN</t>
        </is>
      </c>
      <c r="G450" t="inlineStr">
        <is>
          <t>LAHOLM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46306</v>
      </c>
      <c r="F451" t="inlineStr">
        <is>
          <t>HALLANDS LÄN</t>
        </is>
      </c>
      <c r="G451" t="inlineStr">
        <is>
          <t>LAHOLM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46306</v>
      </c>
      <c r="F452" t="inlineStr">
        <is>
          <t>HALLANDS LÄN</t>
        </is>
      </c>
      <c r="G452" t="inlineStr">
        <is>
          <t>LAHOLM</t>
        </is>
      </c>
      <c r="I452" t="n">
        <v>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46306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46306</v>
      </c>
      <c r="F454" t="inlineStr">
        <is>
          <t>HALLANDS LÄN</t>
        </is>
      </c>
      <c r="G454" t="inlineStr">
        <is>
          <t>LAHOLM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46306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46306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46306</v>
      </c>
      <c r="F457" t="inlineStr">
        <is>
          <t>HALLANDS LÄN</t>
        </is>
      </c>
      <c r="G457" t="inlineStr">
        <is>
          <t>LAHOLM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46306</v>
      </c>
      <c r="F458" t="inlineStr">
        <is>
          <t>HALLANDS LÄN</t>
        </is>
      </c>
      <c r="G458" t="inlineStr">
        <is>
          <t>LAHOLM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46306</v>
      </c>
      <c r="F459" t="inlineStr">
        <is>
          <t>HALLANDS LÄN</t>
        </is>
      </c>
      <c r="G459" t="inlineStr">
        <is>
          <t>LAHOLM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46306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46306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46306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46306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46306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46306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46306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46306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46306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46306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46306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46306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46306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46306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46306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46306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46306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2026-10-11T02:04:54Z</dcterms:created>
  <dcterms:modified xmlns:dcterms="http://purl.org/dc/terms/" xmlns:xsi="http://www.w3.org/2001/XMLSchema-instance" xsi:type="dcterms:W3CDTF">2026-10-11T02:04:54Z</dcterms:modified>
</cp:coreProperties>
</file>