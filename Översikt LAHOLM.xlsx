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46291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46291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46291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46291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46291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46291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46291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46291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46291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46291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46291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46291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46291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6361-2026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46051</v>
      </c>
      <c r="E24" s="1" t="n">
        <v>46291</v>
      </c>
      <c r="F24" t="inlineStr">
        <is>
          <t>HALLANDS LÄN</t>
        </is>
      </c>
      <c r="G24" t="inlineStr">
        <is>
          <t>LAHOLM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Flikbålmossa</t>
        </is>
      </c>
      <c r="W24">
        <f>HYPERLINK("https://klasma.github.io/Logging_1381/artfynd/A 6361-2026 artfynd.xlsx", "A 6361-2026")</f>
        <v/>
      </c>
      <c r="X24">
        <f>HYPERLINK("https://klasma.github.io/Logging_1381/kartor/A 6361-2026 karta.png", "A 6361-2026")</f>
        <v/>
      </c>
      <c r="Y24">
        <f>HYPERLINK("https://klasma.github.io/Logging_1381/kartor_geotiff/A 6361-2026 georefererad karta.tif", "A 6361-2026")</f>
        <v/>
      </c>
      <c r="AA24">
        <f>HYPERLINK("https://klasma.github.io/Logging_1381/klagomål/A 6361-2026 FSC-klagomål.docx", "A 6361-2026")</f>
        <v/>
      </c>
      <c r="AB24">
        <f>HYPERLINK("https://klasma.github.io/Logging_1381/klagomålsmail/A 6361-2026 FSC-klagomål mail.docx", "A 6361-2026")</f>
        <v/>
      </c>
      <c r="AC24">
        <f>HYPERLINK("https://klasma.github.io/Logging_1381/tillsyn/A 6361-2026 tillsynsbegäran.docx", "A 6361-2026")</f>
        <v/>
      </c>
      <c r="AD24">
        <f>HYPERLINK("https://klasma.github.io/Logging_1381/tillsynsmail/A 6361-2026 tillsynsbegäran mail.docx", "A 6361-2026")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46291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46291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46291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48972-2023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46291</v>
      </c>
      <c r="F28" t="inlineStr">
        <is>
          <t>HALLANDS LÄN</t>
        </is>
      </c>
      <c r="G28" t="inlineStr">
        <is>
          <t>LAHOLM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48972-2023 artfynd.xlsx", "A 48972-2023")</f>
        <v/>
      </c>
      <c r="X28">
        <f>HYPERLINK("https://klasma.github.io/Logging_1381/kartor/A 48972-2023 karta.png", "A 48972-2023")</f>
        <v/>
      </c>
      <c r="Y28">
        <f>HYPERLINK("https://klasma.github.io/Logging_1381/kartor_geotiff/A 48972-2023 georefererad karta.tif", "A 48972-2023")</f>
        <v/>
      </c>
      <c r="AA28">
        <f>HYPERLINK("https://klasma.github.io/Logging_1381/klagomål/A 48972-2023 FSC-klagomål.docx", "A 48972-2023")</f>
        <v/>
      </c>
      <c r="AB28">
        <f>HYPERLINK("https://klasma.github.io/Logging_1381/klagomålsmail/A 48972-2023 FSC-klagomål mail.docx", "A 48972-2023")</f>
        <v/>
      </c>
      <c r="AC28">
        <f>HYPERLINK("https://klasma.github.io/Logging_1381/tillsyn/A 48972-2023 tillsynsbegäran.docx", "A 48972-2023")</f>
        <v/>
      </c>
      <c r="AD28">
        <f>HYPERLINK("https://klasma.github.io/Logging_1381/tillsynsmail/A 48972-2023 tillsynsbegäran mail.docx", "A 48972-2023")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46291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46291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46291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46291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46291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46291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39795-2026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46290</v>
      </c>
      <c r="E35" s="1" t="n">
        <v>46291</v>
      </c>
      <c r="F35" t="inlineStr">
        <is>
          <t>HALLANDS LÄN</t>
        </is>
      </c>
      <c r="G35" t="inlineStr">
        <is>
          <t>LAHOLM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HYPERLINK("https://klasma.github.io/Logging_1381/artfynd/A 39795-2026 artfynd.xlsx", "A 39795-2026")</f>
        <v/>
      </c>
      <c r="X35">
        <f>HYPERLINK("https://klasma.github.io/Logging_1381/kartor/A 39795-2026 karta.png", "A 39795-2026")</f>
        <v/>
      </c>
      <c r="Y35">
        <f>HYPERLINK("https://klasma.github.io/Logging_1381/kartor_geotiff/A 39795-2026 georefererad karta.tif", "A 39795-2026")</f>
        <v/>
      </c>
      <c r="AA35">
        <f>HYPERLINK("https://klasma.github.io/Logging_1381/klagomål/A 39795-2026 FSC-klagomål.docx", "A 39795-2026")</f>
        <v/>
      </c>
      <c r="AB35">
        <f>HYPERLINK("https://klasma.github.io/Logging_1381/klagomålsmail/A 39795-2026 FSC-klagomål mail.docx", "A 39795-2026")</f>
        <v/>
      </c>
      <c r="AC35">
        <f>HYPERLINK("https://klasma.github.io/Logging_1381/tillsyn/A 39795-2026 tillsynsbegäran.docx", "A 39795-2026")</f>
        <v/>
      </c>
      <c r="AD35">
        <f>HYPERLINK("https://klasma.github.io/Logging_1381/tillsynsmail/A 39795-2026 tillsynsbegäran mail.docx", "A 39795-2026")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46291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3691-2024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46291</v>
      </c>
      <c r="F37" t="inlineStr">
        <is>
          <t>HALLANDS LÄN</t>
        </is>
      </c>
      <c r="G37" t="inlineStr">
        <is>
          <t>LAHOLM</t>
        </is>
      </c>
      <c r="I37" t="n">
        <v>6.6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HYPERLINK("https://klasma.github.io/Logging_1381/artfynd/A 3691-2024 artfynd.xlsx", "A 3691-2024")</f>
        <v/>
      </c>
      <c r="X37">
        <f>HYPERLINK("https://klasma.github.io/Logging_1381/kartor/A 3691-2024 karta.png", "A 3691-2024")</f>
        <v/>
      </c>
      <c r="Y37">
        <f>HYPERLINK("https://klasma.github.io/Logging_1381/kartor_geotiff/A 3691-2024 georefererad karta.tif", "A 3691-2024")</f>
        <v/>
      </c>
      <c r="AA37">
        <f>HYPERLINK("https://klasma.github.io/Logging_1381/klagomål/A 3691-2024 FSC-klagomål.docx", "A 3691-2024")</f>
        <v/>
      </c>
      <c r="AB37">
        <f>HYPERLINK("https://klasma.github.io/Logging_1381/klagomålsmail/A 3691-2024 FSC-klagomål mail.docx", "A 3691-2024")</f>
        <v/>
      </c>
      <c r="AC37">
        <f>HYPERLINK("https://klasma.github.io/Logging_1381/tillsyn/A 3691-2024 tillsynsbegäran.docx", "A 3691-2024")</f>
        <v/>
      </c>
      <c r="AD37">
        <f>HYPERLINK("https://klasma.github.io/Logging_1381/tillsynsmail/A 3691-2024 tillsynsbegäran mail.docx", "A 3691-2024")</f>
        <v/>
      </c>
    </row>
    <row r="38" ht="15" customHeight="1">
      <c r="A38" t="inlineStr">
        <is>
          <t>A 37556-2023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46291</v>
      </c>
      <c r="F38" t="inlineStr">
        <is>
          <t>HALLANDS LÄN</t>
        </is>
      </c>
      <c r="G38" t="inlineStr">
        <is>
          <t>LAHOLM</t>
        </is>
      </c>
      <c r="I38" t="n">
        <v>0.9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2</v>
      </c>
      <c r="V38" s="2" t="inlineStr">
        <is>
          <t>Vildris</t>
        </is>
      </c>
      <c r="W38">
        <f>HYPERLINK("https://klasma.github.io/Logging_1381/artfynd/A 37556-2023 artfynd.xlsx", "A 37556-2023")</f>
        <v/>
      </c>
      <c r="X38">
        <f>HYPERLINK("https://klasma.github.io/Logging_1381/kartor/A 37556-2023 karta.png", "A 37556-2023")</f>
        <v/>
      </c>
      <c r="Y38">
        <f>HYPERLINK("https://klasma.github.io/Logging_1381/kartor_geotiff/A 37556-2023 georefererad karta.tif", "A 37556-2023")</f>
        <v/>
      </c>
      <c r="AA38">
        <f>HYPERLINK("https://klasma.github.io/Logging_1381/klagomål/A 37556-2023 FSC-klagomål.docx", "A 37556-2023")</f>
        <v/>
      </c>
      <c r="AB38">
        <f>HYPERLINK("https://klasma.github.io/Logging_1381/klagomålsmail/A 37556-2023 FSC-klagomål mail.docx", "A 37556-2023")</f>
        <v/>
      </c>
      <c r="AC38">
        <f>HYPERLINK("https://klasma.github.io/Logging_1381/tillsyn/A 37556-2023 tillsynsbegäran.docx", "A 37556-2023")</f>
        <v/>
      </c>
      <c r="AD38">
        <f>HYPERLINK("https://klasma.github.io/Logging_1381/tillsynsmail/A 37556-2023 tillsynsbegäran mail.docx", "A 37556-2023")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46291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46291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46291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46291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46291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46291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46291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46291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46291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46291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46291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46291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46291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46291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46291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46291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46291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46291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46291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46291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46291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46291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46291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46291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46291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46291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46291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46291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46291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46291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46291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46291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46291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46291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46291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46291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46291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46291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46291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46291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46291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46291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46291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46291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46291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46291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45364</v>
      </c>
      <c r="E85" s="1" t="n">
        <v>46291</v>
      </c>
      <c r="F85" t="inlineStr">
        <is>
          <t>HALLANDS LÄN</t>
        </is>
      </c>
      <c r="G85" t="inlineStr">
        <is>
          <t>LAHOLM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44827</v>
      </c>
      <c r="E86" s="1" t="n">
        <v>46291</v>
      </c>
      <c r="F86" t="inlineStr">
        <is>
          <t>HALLANDS LÄN</t>
        </is>
      </c>
      <c r="G86" t="inlineStr">
        <is>
          <t>LAHOLM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46291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46291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46291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46291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46291</v>
      </c>
      <c r="F91" t="inlineStr">
        <is>
          <t>HALLANDS LÄN</t>
        </is>
      </c>
      <c r="G91" t="inlineStr">
        <is>
          <t>LAHOLM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46291</v>
      </c>
      <c r="F92" t="inlineStr">
        <is>
          <t>HALLANDS LÄN</t>
        </is>
      </c>
      <c r="G92" t="inlineStr">
        <is>
          <t>LAHOLM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46291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46291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46291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46291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46291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46291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46291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46291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46034</v>
      </c>
      <c r="E101" s="1" t="n">
        <v>46291</v>
      </c>
      <c r="F101" t="inlineStr">
        <is>
          <t>HALLANDS LÄN</t>
        </is>
      </c>
      <c r="G101" t="inlineStr">
        <is>
          <t>LAHOLM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46291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46291</v>
      </c>
      <c r="F103" t="inlineStr">
        <is>
          <t>HALLANDS LÄN</t>
        </is>
      </c>
      <c r="G103" t="inlineStr">
        <is>
          <t>LAHOLM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46291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46291</v>
      </c>
      <c r="F105" t="inlineStr">
        <is>
          <t>HALLANDS LÄN</t>
        </is>
      </c>
      <c r="G105" t="inlineStr">
        <is>
          <t>LAHOLM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46291</v>
      </c>
      <c r="F106" t="inlineStr">
        <is>
          <t>HALLANDS LÄN</t>
        </is>
      </c>
      <c r="G106" t="inlineStr">
        <is>
          <t>LAHOLM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46291</v>
      </c>
      <c r="F107" t="inlineStr">
        <is>
          <t>HALLANDS LÄN</t>
        </is>
      </c>
      <c r="G107" t="inlineStr">
        <is>
          <t>LAHOLM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46291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46291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46291</v>
      </c>
      <c r="F110" t="inlineStr">
        <is>
          <t>HALLANDS LÄN</t>
        </is>
      </c>
      <c r="G110" t="inlineStr">
        <is>
          <t>LAHOLM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46291</v>
      </c>
      <c r="F111" t="inlineStr">
        <is>
          <t>HALLANDS LÄN</t>
        </is>
      </c>
      <c r="G111" t="inlineStr">
        <is>
          <t>LAHOLM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46291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44873</v>
      </c>
      <c r="E113" s="1" t="n">
        <v>46291</v>
      </c>
      <c r="F113" t="inlineStr">
        <is>
          <t>HALLANDS LÄN</t>
        </is>
      </c>
      <c r="G113" t="inlineStr">
        <is>
          <t>LAHOLM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46291</v>
      </c>
      <c r="F114" t="inlineStr">
        <is>
          <t>HALLANDS LÄN</t>
        </is>
      </c>
      <c r="G114" t="inlineStr">
        <is>
          <t>LAHOLM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46291</v>
      </c>
      <c r="F115" t="inlineStr">
        <is>
          <t>HALLANDS LÄN</t>
        </is>
      </c>
      <c r="G115" t="inlineStr">
        <is>
          <t>LAHOLM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46291</v>
      </c>
      <c r="F116" t="inlineStr">
        <is>
          <t>HALLANDS LÄN</t>
        </is>
      </c>
      <c r="G116" t="inlineStr">
        <is>
          <t>LAHOLM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46291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46291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46291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46052</v>
      </c>
      <c r="E120" s="1" t="n">
        <v>46291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46291</v>
      </c>
      <c r="F121" t="inlineStr">
        <is>
          <t>HALLANDS LÄN</t>
        </is>
      </c>
      <c r="G121" t="inlineStr">
        <is>
          <t>LAHOLM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46291</v>
      </c>
      <c r="F122" t="inlineStr">
        <is>
          <t>HALLANDS LÄN</t>
        </is>
      </c>
      <c r="G122" t="inlineStr">
        <is>
          <t>LAHOLM</t>
        </is>
      </c>
      <c r="H122" t="inlineStr">
        <is>
          <t>Kyrkan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46291</v>
      </c>
      <c r="F123" t="inlineStr">
        <is>
          <t>HALLANDS LÄN</t>
        </is>
      </c>
      <c r="G123" t="inlineStr">
        <is>
          <t>LAHOLM</t>
        </is>
      </c>
      <c r="H123" t="inlineStr">
        <is>
          <t>Kyrkan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46291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46291</v>
      </c>
      <c r="F125" t="inlineStr">
        <is>
          <t>HALLANDS LÄN</t>
        </is>
      </c>
      <c r="G125" t="inlineStr">
        <is>
          <t>LAHOLM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44639</v>
      </c>
      <c r="E126" s="1" t="n">
        <v>46291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46057</v>
      </c>
      <c r="E127" s="1" t="n">
        <v>46291</v>
      </c>
      <c r="F127" t="inlineStr">
        <is>
          <t>HALLANDS LÄN</t>
        </is>
      </c>
      <c r="G127" t="inlineStr">
        <is>
          <t>LAHOLM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46291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46291</v>
      </c>
      <c r="F129" t="inlineStr">
        <is>
          <t>HALLANDS LÄN</t>
        </is>
      </c>
      <c r="G129" t="inlineStr">
        <is>
          <t>LAHOLM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46291</v>
      </c>
      <c r="F130" t="inlineStr">
        <is>
          <t>HALLANDS LÄN</t>
        </is>
      </c>
      <c r="G130" t="inlineStr">
        <is>
          <t>LAHOLM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46291</v>
      </c>
      <c r="F131" t="inlineStr">
        <is>
          <t>HALLANDS LÄN</t>
        </is>
      </c>
      <c r="G131" t="inlineStr">
        <is>
          <t>LAHOLM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46291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45519</v>
      </c>
      <c r="E133" s="1" t="n">
        <v>46291</v>
      </c>
      <c r="F133" t="inlineStr">
        <is>
          <t>HALLANDS LÄN</t>
        </is>
      </c>
      <c r="G133" t="inlineStr">
        <is>
          <t>LAHOLM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46291</v>
      </c>
      <c r="F134" t="inlineStr">
        <is>
          <t>HALLANDS LÄN</t>
        </is>
      </c>
      <c r="G134" t="inlineStr">
        <is>
          <t>LAHOLM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46291</v>
      </c>
      <c r="F135" t="inlineStr">
        <is>
          <t>HALLANDS LÄN</t>
        </is>
      </c>
      <c r="G135" t="inlineStr">
        <is>
          <t>LAHOLM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46291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46291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45320</v>
      </c>
      <c r="E138" s="1" t="n">
        <v>46291</v>
      </c>
      <c r="F138" t="inlineStr">
        <is>
          <t>HALLANDS LÄN</t>
        </is>
      </c>
      <c r="G138" t="inlineStr">
        <is>
          <t>LAHOLM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46291</v>
      </c>
      <c r="F139" t="inlineStr">
        <is>
          <t>HALLANDS LÄN</t>
        </is>
      </c>
      <c r="G139" t="inlineStr">
        <is>
          <t>LAHOLM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46291</v>
      </c>
      <c r="F140" t="inlineStr">
        <is>
          <t>HALLANDS LÄN</t>
        </is>
      </c>
      <c r="G140" t="inlineStr">
        <is>
          <t>LAHOLM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46291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46291</v>
      </c>
      <c r="F142" t="inlineStr">
        <is>
          <t>HALLANDS LÄN</t>
        </is>
      </c>
      <c r="G142" t="inlineStr">
        <is>
          <t>LAHOLM</t>
        </is>
      </c>
      <c r="H142" t="inlineStr">
        <is>
          <t>Kommuner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46291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46291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46291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45587</v>
      </c>
      <c r="E146" s="1" t="n">
        <v>46291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46291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46291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13998-2026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46098</v>
      </c>
      <c r="E149" s="1" t="n">
        <v>46291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46291</v>
      </c>
      <c r="F150" t="inlineStr">
        <is>
          <t>HALLANDS LÄN</t>
        </is>
      </c>
      <c r="G150" t="inlineStr">
        <is>
          <t>LAHOLM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46291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46291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46291</v>
      </c>
      <c r="F153" t="inlineStr">
        <is>
          <t>HALLANDS LÄN</t>
        </is>
      </c>
      <c r="G153" t="inlineStr">
        <is>
          <t>LAHOLM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46291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46291</v>
      </c>
      <c r="F155" t="inlineStr">
        <is>
          <t>HALLANDS LÄN</t>
        </is>
      </c>
      <c r="G155" t="inlineStr">
        <is>
          <t>LAHOLM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46291</v>
      </c>
      <c r="F156" t="inlineStr">
        <is>
          <t>HALLANDS LÄN</t>
        </is>
      </c>
      <c r="G156" t="inlineStr">
        <is>
          <t>LAHOLM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46291</v>
      </c>
      <c r="F157" t="inlineStr">
        <is>
          <t>HALLANDS LÄN</t>
        </is>
      </c>
      <c r="G157" t="inlineStr">
        <is>
          <t>LAHOLM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64922-2023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45282</v>
      </c>
      <c r="E158" s="1" t="n">
        <v>46291</v>
      </c>
      <c r="F158" t="inlineStr">
        <is>
          <t>HALLANDS LÄN</t>
        </is>
      </c>
      <c r="G158" t="inlineStr">
        <is>
          <t>LAHOLM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46291</v>
      </c>
      <c r="F159" t="inlineStr">
        <is>
          <t>HALLANDS LÄN</t>
        </is>
      </c>
      <c r="G159" t="inlineStr">
        <is>
          <t>LAHOLM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46291</v>
      </c>
      <c r="F160" t="inlineStr">
        <is>
          <t>HALLANDS LÄN</t>
        </is>
      </c>
      <c r="G160" t="inlineStr">
        <is>
          <t>LAHOLM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46291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46291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46291</v>
      </c>
      <c r="F163" t="inlineStr">
        <is>
          <t>HALLANDS LÄN</t>
        </is>
      </c>
      <c r="G163" t="inlineStr">
        <is>
          <t>LAHOLM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46291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46291</v>
      </c>
      <c r="F165" t="inlineStr">
        <is>
          <t>HALLANDS LÄN</t>
        </is>
      </c>
      <c r="G165" t="inlineStr">
        <is>
          <t>LAHOLM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53598-2021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46291</v>
      </c>
      <c r="F166" t="inlineStr">
        <is>
          <t>HALLANDS LÄN</t>
        </is>
      </c>
      <c r="G166" t="inlineStr">
        <is>
          <t>LAHOLM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46291</v>
      </c>
      <c r="F167" t="inlineStr">
        <is>
          <t>HALLANDS LÄN</t>
        </is>
      </c>
      <c r="G167" t="inlineStr">
        <is>
          <t>LAHOLM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46291</v>
      </c>
      <c r="F168" t="inlineStr">
        <is>
          <t>HALLANDS LÄN</t>
        </is>
      </c>
      <c r="G168" t="inlineStr">
        <is>
          <t>LAHOLM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46291</v>
      </c>
      <c r="F169" t="inlineStr">
        <is>
          <t>HALLANDS LÄN</t>
        </is>
      </c>
      <c r="G169" t="inlineStr">
        <is>
          <t>LAHOLM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46291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46291</v>
      </c>
      <c r="F171" t="inlineStr">
        <is>
          <t>HALLANDS LÄN</t>
        </is>
      </c>
      <c r="G171" t="inlineStr">
        <is>
          <t>LAHOLM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46291</v>
      </c>
      <c r="F172" t="inlineStr">
        <is>
          <t>HALLANDS LÄN</t>
        </is>
      </c>
      <c r="G172" t="inlineStr">
        <is>
          <t>LAHOLM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46291</v>
      </c>
      <c r="F173" t="inlineStr">
        <is>
          <t>HALLANDS LÄN</t>
        </is>
      </c>
      <c r="G173" t="inlineStr">
        <is>
          <t>LAHOLM</t>
        </is>
      </c>
      <c r="H173" t="inlineStr">
        <is>
          <t>Övriga statliga verk och myndigheter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45002</v>
      </c>
      <c r="E174" s="1" t="n">
        <v>46291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46291</v>
      </c>
      <c r="F175" t="inlineStr">
        <is>
          <t>HALLANDS LÄN</t>
        </is>
      </c>
      <c r="G175" t="inlineStr">
        <is>
          <t>LAHOLM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46291</v>
      </c>
      <c r="F176" t="inlineStr">
        <is>
          <t>HALLANDS LÄN</t>
        </is>
      </c>
      <c r="G176" t="inlineStr">
        <is>
          <t>LAHOLM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46291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46291</v>
      </c>
      <c r="F178" t="inlineStr">
        <is>
          <t>HALLANDS LÄN</t>
        </is>
      </c>
      <c r="G178" t="inlineStr">
        <is>
          <t>LAHOLM</t>
        </is>
      </c>
      <c r="H178" t="inlineStr">
        <is>
          <t>Sveaskog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45849</v>
      </c>
      <c r="E179" s="1" t="n">
        <v>46291</v>
      </c>
      <c r="F179" t="inlineStr">
        <is>
          <t>HALLANDS LÄN</t>
        </is>
      </c>
      <c r="G179" t="inlineStr">
        <is>
          <t>LAHOLM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46291</v>
      </c>
      <c r="F180" t="inlineStr">
        <is>
          <t>HALLANDS LÄN</t>
        </is>
      </c>
      <c r="G180" t="inlineStr">
        <is>
          <t>LAHOLM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46291</v>
      </c>
      <c r="F181" t="inlineStr">
        <is>
          <t>HALLANDS LÄN</t>
        </is>
      </c>
      <c r="G181" t="inlineStr">
        <is>
          <t>LAHOLM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46291</v>
      </c>
      <c r="F182" t="inlineStr">
        <is>
          <t>HALLANDS LÄN</t>
        </is>
      </c>
      <c r="G182" t="inlineStr">
        <is>
          <t>LAHOLM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46291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46291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46291</v>
      </c>
      <c r="F185" t="inlineStr">
        <is>
          <t>HALLANDS LÄN</t>
        </is>
      </c>
      <c r="G185" t="inlineStr">
        <is>
          <t>LAHOLM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46291</v>
      </c>
      <c r="F186" t="inlineStr">
        <is>
          <t>HALLANDS LÄN</t>
        </is>
      </c>
      <c r="G186" t="inlineStr">
        <is>
          <t>LAHOLM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46291</v>
      </c>
      <c r="F187" t="inlineStr">
        <is>
          <t>HALLANDS LÄN</t>
        </is>
      </c>
      <c r="G187" t="inlineStr">
        <is>
          <t>LAHOLM</t>
        </is>
      </c>
      <c r="H187" t="inlineStr">
        <is>
          <t>Naturvårdsverket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46291</v>
      </c>
      <c r="F188" t="inlineStr">
        <is>
          <t>HALLANDS LÄN</t>
        </is>
      </c>
      <c r="G188" t="inlineStr">
        <is>
          <t>LAHOLM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46291</v>
      </c>
      <c r="F189" t="inlineStr">
        <is>
          <t>HALLANDS LÄN</t>
        </is>
      </c>
      <c r="G189" t="inlineStr">
        <is>
          <t>LAHOLM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46291</v>
      </c>
      <c r="F190" t="inlineStr">
        <is>
          <t>HALLANDS LÄN</t>
        </is>
      </c>
      <c r="G190" t="inlineStr">
        <is>
          <t>LAHOLM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45171</v>
      </c>
      <c r="E191" s="1" t="n">
        <v>46291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46291</v>
      </c>
      <c r="F192" t="inlineStr">
        <is>
          <t>HALLANDS LÄN</t>
        </is>
      </c>
      <c r="G192" t="inlineStr">
        <is>
          <t>LAHOLM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45544</v>
      </c>
      <c r="E193" s="1" t="n">
        <v>46291</v>
      </c>
      <c r="F193" t="inlineStr">
        <is>
          <t>HALLANDS LÄN</t>
        </is>
      </c>
      <c r="G193" t="inlineStr">
        <is>
          <t>LAHOLM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46291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46291</v>
      </c>
      <c r="F195" t="inlineStr">
        <is>
          <t>HALLANDS LÄN</t>
        </is>
      </c>
      <c r="G195" t="inlineStr">
        <is>
          <t>LAHOLM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46291</v>
      </c>
      <c r="F196" t="inlineStr">
        <is>
          <t>HALLANDS LÄN</t>
        </is>
      </c>
      <c r="G196" t="inlineStr">
        <is>
          <t>LAHOLM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46291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46291</v>
      </c>
      <c r="F198" t="inlineStr">
        <is>
          <t>HALLANDS LÄN</t>
        </is>
      </c>
      <c r="G198" t="inlineStr">
        <is>
          <t>LAHOLM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46291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46291</v>
      </c>
      <c r="F200" t="inlineStr">
        <is>
          <t>HALLANDS LÄN</t>
        </is>
      </c>
      <c r="G200" t="inlineStr">
        <is>
          <t>LAHOLM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46291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46291</v>
      </c>
      <c r="F202" t="inlineStr">
        <is>
          <t>HALLANDS LÄN</t>
        </is>
      </c>
      <c r="G202" t="inlineStr">
        <is>
          <t>LAHOLM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46291</v>
      </c>
      <c r="F203" t="inlineStr">
        <is>
          <t>HALLANDS LÄN</t>
        </is>
      </c>
      <c r="G203" t="inlineStr">
        <is>
          <t>LAHOLM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46291</v>
      </c>
      <c r="F204" t="inlineStr">
        <is>
          <t>HALLANDS LÄN</t>
        </is>
      </c>
      <c r="G204" t="inlineStr">
        <is>
          <t>LAHOLM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46291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45687</v>
      </c>
      <c r="E206" s="1" t="n">
        <v>46291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46291</v>
      </c>
      <c r="F207" t="inlineStr">
        <is>
          <t>HALLANDS LÄN</t>
        </is>
      </c>
      <c r="G207" t="inlineStr">
        <is>
          <t>LAHOLM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46291</v>
      </c>
      <c r="F208" t="inlineStr">
        <is>
          <t>HALLANDS LÄN</t>
        </is>
      </c>
      <c r="G208" t="inlineStr">
        <is>
          <t>LAHOLM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46291</v>
      </c>
      <c r="F209" t="inlineStr">
        <is>
          <t>HALLANDS LÄN</t>
        </is>
      </c>
      <c r="G209" t="inlineStr">
        <is>
          <t>LAHOLM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46291</v>
      </c>
      <c r="F210" t="inlineStr">
        <is>
          <t>HALLANDS LÄN</t>
        </is>
      </c>
      <c r="G210" t="inlineStr">
        <is>
          <t>LAHOLM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44603</v>
      </c>
      <c r="E211" s="1" t="n">
        <v>46291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46291</v>
      </c>
      <c r="F212" t="inlineStr">
        <is>
          <t>HALLANDS LÄN</t>
        </is>
      </c>
      <c r="G212" t="inlineStr">
        <is>
          <t>LAHOLM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46291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46291</v>
      </c>
      <c r="F214" t="inlineStr">
        <is>
          <t>HALLANDS LÄN</t>
        </is>
      </c>
      <c r="G214" t="inlineStr">
        <is>
          <t>LAHOLM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46291</v>
      </c>
      <c r="F215" t="inlineStr">
        <is>
          <t>HALLANDS LÄN</t>
        </is>
      </c>
      <c r="G215" t="inlineStr">
        <is>
          <t>LAHOLM</t>
        </is>
      </c>
      <c r="H215" t="inlineStr">
        <is>
          <t>Kommuner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46151</v>
      </c>
      <c r="E216" s="1" t="n">
        <v>46291</v>
      </c>
      <c r="F216" t="inlineStr">
        <is>
          <t>HALLANDS LÄN</t>
        </is>
      </c>
      <c r="G216" t="inlineStr">
        <is>
          <t>LAHOLM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46291</v>
      </c>
      <c r="F217" t="inlineStr">
        <is>
          <t>HALLANDS LÄN</t>
        </is>
      </c>
      <c r="G217" t="inlineStr">
        <is>
          <t>LAHOLM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46291</v>
      </c>
      <c r="F218" t="inlineStr">
        <is>
          <t>HALLANDS LÄN</t>
        </is>
      </c>
      <c r="G218" t="inlineStr">
        <is>
          <t>LAHOLM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46291</v>
      </c>
      <c r="F219" t="inlineStr">
        <is>
          <t>HALLANDS LÄN</t>
        </is>
      </c>
      <c r="G219" t="inlineStr">
        <is>
          <t>LAHOLM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46291</v>
      </c>
      <c r="F220" t="inlineStr">
        <is>
          <t>HALLANDS LÄN</t>
        </is>
      </c>
      <c r="G220" t="inlineStr">
        <is>
          <t>LAHOLM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46291</v>
      </c>
      <c r="F221" t="inlineStr">
        <is>
          <t>HALLANDS LÄN</t>
        </is>
      </c>
      <c r="G221" t="inlineStr">
        <is>
          <t>LAHOLM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46291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46291</v>
      </c>
      <c r="F223" t="inlineStr">
        <is>
          <t>HALLANDS LÄN</t>
        </is>
      </c>
      <c r="G223" t="inlineStr">
        <is>
          <t>LAHOLM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45071</v>
      </c>
      <c r="E224" s="1" t="n">
        <v>46291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46291</v>
      </c>
      <c r="F225" t="inlineStr">
        <is>
          <t>HALLANDS LÄN</t>
        </is>
      </c>
      <c r="G225" t="inlineStr">
        <is>
          <t>LAHOLM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46291</v>
      </c>
      <c r="F226" t="inlineStr">
        <is>
          <t>HALLANDS LÄN</t>
        </is>
      </c>
      <c r="G226" t="inlineStr">
        <is>
          <t>LAHOLM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46291</v>
      </c>
      <c r="F227" t="inlineStr">
        <is>
          <t>HALLANDS LÄN</t>
        </is>
      </c>
      <c r="G227" t="inlineStr">
        <is>
          <t>LAHOLM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46291</v>
      </c>
      <c r="F228" t="inlineStr">
        <is>
          <t>HALLANDS LÄN</t>
        </is>
      </c>
      <c r="G228" t="inlineStr">
        <is>
          <t>LAHOLM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46291</v>
      </c>
      <c r="F229" t="inlineStr">
        <is>
          <t>HALLANDS LÄN</t>
        </is>
      </c>
      <c r="G229" t="inlineStr">
        <is>
          <t>LAHOLM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46291</v>
      </c>
      <c r="F230" t="inlineStr">
        <is>
          <t>HALLANDS LÄN</t>
        </is>
      </c>
      <c r="G230" t="inlineStr">
        <is>
          <t>LAHOLM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45843</v>
      </c>
      <c r="E231" s="1" t="n">
        <v>46291</v>
      </c>
      <c r="F231" t="inlineStr">
        <is>
          <t>HALLANDS LÄN</t>
        </is>
      </c>
      <c r="G231" t="inlineStr">
        <is>
          <t>LAHOLM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45139</v>
      </c>
      <c r="E232" s="1" t="n">
        <v>46291</v>
      </c>
      <c r="F232" t="inlineStr">
        <is>
          <t>HALLANDS LÄN</t>
        </is>
      </c>
      <c r="G232" t="inlineStr">
        <is>
          <t>LAHOLM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46291</v>
      </c>
      <c r="F233" t="inlineStr">
        <is>
          <t>HALLANDS LÄN</t>
        </is>
      </c>
      <c r="G233" t="inlineStr">
        <is>
          <t>LAHOLM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46291</v>
      </c>
      <c r="F234" t="inlineStr">
        <is>
          <t>HALLANDS LÄN</t>
        </is>
      </c>
      <c r="G234" t="inlineStr">
        <is>
          <t>LAHOLM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44491</v>
      </c>
      <c r="E235" s="1" t="n">
        <v>46291</v>
      </c>
      <c r="F235" t="inlineStr">
        <is>
          <t>HALLANDS LÄN</t>
        </is>
      </c>
      <c r="G235" t="inlineStr">
        <is>
          <t>LAHOLM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46291</v>
      </c>
      <c r="F236" t="inlineStr">
        <is>
          <t>HALLANDS LÄN</t>
        </is>
      </c>
      <c r="G236" t="inlineStr">
        <is>
          <t>LAHOLM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46291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46291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46291</v>
      </c>
      <c r="F239" t="inlineStr">
        <is>
          <t>HALLANDS LÄN</t>
        </is>
      </c>
      <c r="G239" t="inlineStr">
        <is>
          <t>LAHOLM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46291</v>
      </c>
      <c r="F240" t="inlineStr">
        <is>
          <t>HALLANDS LÄN</t>
        </is>
      </c>
      <c r="G240" t="inlineStr">
        <is>
          <t>LAHOLM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46291</v>
      </c>
      <c r="F241" t="inlineStr">
        <is>
          <t>HALLANDS LÄN</t>
        </is>
      </c>
      <c r="G241" t="inlineStr">
        <is>
          <t>LAHOLM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46291</v>
      </c>
      <c r="F242" t="inlineStr">
        <is>
          <t>HALLANDS LÄN</t>
        </is>
      </c>
      <c r="G242" t="inlineStr">
        <is>
          <t>LAHOLM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46291</v>
      </c>
      <c r="F243" t="inlineStr">
        <is>
          <t>HALLANDS LÄN</t>
        </is>
      </c>
      <c r="G243" t="inlineStr">
        <is>
          <t>LAHOLM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46291</v>
      </c>
      <c r="F244" t="inlineStr">
        <is>
          <t>HALLANDS LÄN</t>
        </is>
      </c>
      <c r="G244" t="inlineStr">
        <is>
          <t>LAHOLM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46291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46291</v>
      </c>
      <c r="F246" t="inlineStr">
        <is>
          <t>HALLANDS LÄN</t>
        </is>
      </c>
      <c r="G246" t="inlineStr">
        <is>
          <t>LAHOLM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46291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25478-2025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45802</v>
      </c>
      <c r="E248" s="1" t="n">
        <v>46291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46291</v>
      </c>
      <c r="F249" t="inlineStr">
        <is>
          <t>HALLANDS LÄN</t>
        </is>
      </c>
      <c r="G249" t="inlineStr">
        <is>
          <t>LAHOLM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67861-2021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44525</v>
      </c>
      <c r="E250" s="1" t="n">
        <v>46291</v>
      </c>
      <c r="F250" t="inlineStr">
        <is>
          <t>HALLANDS LÄN</t>
        </is>
      </c>
      <c r="G250" t="inlineStr">
        <is>
          <t>LAHOLM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46291</v>
      </c>
      <c r="F251" t="inlineStr">
        <is>
          <t>HALLANDS LÄN</t>
        </is>
      </c>
      <c r="G251" t="inlineStr">
        <is>
          <t>LAHOLM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45314</v>
      </c>
      <c r="E252" s="1" t="n">
        <v>46291</v>
      </c>
      <c r="F252" t="inlineStr">
        <is>
          <t>HALLANDS LÄN</t>
        </is>
      </c>
      <c r="G252" t="inlineStr">
        <is>
          <t>LAHOLM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44981</v>
      </c>
      <c r="E253" s="1" t="n">
        <v>46291</v>
      </c>
      <c r="F253" t="inlineStr">
        <is>
          <t>HALLANDS LÄN</t>
        </is>
      </c>
      <c r="G253" t="inlineStr">
        <is>
          <t>LAHOLM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46291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46291</v>
      </c>
      <c r="F255" t="inlineStr">
        <is>
          <t>HALLANDS LÄN</t>
        </is>
      </c>
      <c r="G255" t="inlineStr">
        <is>
          <t>LAHOLM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46291</v>
      </c>
      <c r="F256" t="inlineStr">
        <is>
          <t>HALLANDS LÄN</t>
        </is>
      </c>
      <c r="G256" t="inlineStr">
        <is>
          <t>LAHOLM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46291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46291</v>
      </c>
      <c r="F258" t="inlineStr">
        <is>
          <t>HALLANDS LÄN</t>
        </is>
      </c>
      <c r="G258" t="inlineStr">
        <is>
          <t>LAHOLM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46291</v>
      </c>
      <c r="F259" t="inlineStr">
        <is>
          <t>HALLANDS LÄN</t>
        </is>
      </c>
      <c r="G259" t="inlineStr">
        <is>
          <t>LAHOLM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44902</v>
      </c>
      <c r="E260" s="1" t="n">
        <v>46291</v>
      </c>
      <c r="F260" t="inlineStr">
        <is>
          <t>HALLANDS LÄN</t>
        </is>
      </c>
      <c r="G260" t="inlineStr">
        <is>
          <t>LAHOLM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46291</v>
      </c>
      <c r="F261" t="inlineStr">
        <is>
          <t>HALLANDS LÄN</t>
        </is>
      </c>
      <c r="G261" t="inlineStr">
        <is>
          <t>LAHOLM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46291</v>
      </c>
      <c r="F262" t="inlineStr">
        <is>
          <t>HALLANDS LÄN</t>
        </is>
      </c>
      <c r="G262" t="inlineStr">
        <is>
          <t>LAHOLM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45415</v>
      </c>
      <c r="E263" s="1" t="n">
        <v>46291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46291</v>
      </c>
      <c r="F264" t="inlineStr">
        <is>
          <t>HALLANDS LÄN</t>
        </is>
      </c>
      <c r="G264" t="inlineStr">
        <is>
          <t>LAHOLM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46291</v>
      </c>
      <c r="F265" t="inlineStr">
        <is>
          <t>HALLANDS LÄN</t>
        </is>
      </c>
      <c r="G265" t="inlineStr">
        <is>
          <t>LAHOLM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46291</v>
      </c>
      <c r="F266" t="inlineStr">
        <is>
          <t>HALLANDS LÄN</t>
        </is>
      </c>
      <c r="G266" t="inlineStr">
        <is>
          <t>LAHOLM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46291</v>
      </c>
      <c r="F267" t="inlineStr">
        <is>
          <t>HALLANDS LÄN</t>
        </is>
      </c>
      <c r="G267" t="inlineStr">
        <is>
          <t>LAHOLM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45076</v>
      </c>
      <c r="E268" s="1" t="n">
        <v>46291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46291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46291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46291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46291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44517</v>
      </c>
      <c r="E273" s="1" t="n">
        <v>46291</v>
      </c>
      <c r="F273" t="inlineStr">
        <is>
          <t>HALLANDS LÄN</t>
        </is>
      </c>
      <c r="G273" t="inlineStr">
        <is>
          <t>LAHOLM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46291</v>
      </c>
      <c r="F274" t="inlineStr">
        <is>
          <t>HALLANDS LÄN</t>
        </is>
      </c>
      <c r="G274" t="inlineStr">
        <is>
          <t>LAHOLM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27223-2026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46184</v>
      </c>
      <c r="E275" s="1" t="n">
        <v>46291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45695</v>
      </c>
      <c r="E276" s="1" t="n">
        <v>46291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45450</v>
      </c>
      <c r="E277" s="1" t="n">
        <v>46291</v>
      </c>
      <c r="F277" t="inlineStr">
        <is>
          <t>HALLANDS LÄN</t>
        </is>
      </c>
      <c r="G277" t="inlineStr">
        <is>
          <t>LAHOLM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46291</v>
      </c>
      <c r="F278" t="inlineStr">
        <is>
          <t>HALLANDS LÄN</t>
        </is>
      </c>
      <c r="G278" t="inlineStr">
        <is>
          <t>LAHOLM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39903-2023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45168</v>
      </c>
      <c r="E279" s="1" t="n">
        <v>46291</v>
      </c>
      <c r="F279" t="inlineStr">
        <is>
          <t>HALLANDS LÄN</t>
        </is>
      </c>
      <c r="G279" t="inlineStr">
        <is>
          <t>LAHOLM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45751</v>
      </c>
      <c r="E280" s="1" t="n">
        <v>46291</v>
      </c>
      <c r="F280" t="inlineStr">
        <is>
          <t>HALLANDS LÄN</t>
        </is>
      </c>
      <c r="G280" t="inlineStr">
        <is>
          <t>LAHOLM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46291</v>
      </c>
      <c r="F281" t="inlineStr">
        <is>
          <t>HALLANDS LÄN</t>
        </is>
      </c>
      <c r="G281" t="inlineStr">
        <is>
          <t>LAHOLM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45343</v>
      </c>
      <c r="E282" s="1" t="n">
        <v>46291</v>
      </c>
      <c r="F282" t="inlineStr">
        <is>
          <t>HALLANDS LÄN</t>
        </is>
      </c>
      <c r="G282" t="inlineStr">
        <is>
          <t>LAHOLM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46291</v>
      </c>
      <c r="F283" t="inlineStr">
        <is>
          <t>HALLANDS LÄN</t>
        </is>
      </c>
      <c r="G283" t="inlineStr">
        <is>
          <t>LAHOLM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46291</v>
      </c>
      <c r="F284" t="inlineStr">
        <is>
          <t>HALLANDS LÄN</t>
        </is>
      </c>
      <c r="G284" t="inlineStr">
        <is>
          <t>LAHOLM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46291</v>
      </c>
      <c r="F285" t="inlineStr">
        <is>
          <t>HALLANDS LÄN</t>
        </is>
      </c>
      <c r="G285" t="inlineStr">
        <is>
          <t>LAHOLM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46291</v>
      </c>
      <c r="F286" t="inlineStr">
        <is>
          <t>HALLANDS LÄN</t>
        </is>
      </c>
      <c r="G286" t="inlineStr">
        <is>
          <t>LAHOLM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59921-2022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44909</v>
      </c>
      <c r="E287" s="1" t="n">
        <v>46291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44645</v>
      </c>
      <c r="E288" s="1" t="n">
        <v>46291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46291</v>
      </c>
      <c r="F289" t="inlineStr">
        <is>
          <t>HALLANDS LÄN</t>
        </is>
      </c>
      <c r="G289" t="inlineStr">
        <is>
          <t>LAHOLM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46291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46291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57320-2021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44483</v>
      </c>
      <c r="E292" s="1" t="n">
        <v>46291</v>
      </c>
      <c r="F292" t="inlineStr">
        <is>
          <t>HALLANDS LÄN</t>
        </is>
      </c>
      <c r="G292" t="inlineStr">
        <is>
          <t>LAHOLM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73894-2021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44553</v>
      </c>
      <c r="E293" s="1" t="n">
        <v>46291</v>
      </c>
      <c r="F293" t="inlineStr">
        <is>
          <t>HALLANDS LÄN</t>
        </is>
      </c>
      <c r="G293" t="inlineStr">
        <is>
          <t>LAHOLM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45182</v>
      </c>
      <c r="E294" s="1" t="n">
        <v>46291</v>
      </c>
      <c r="F294" t="inlineStr">
        <is>
          <t>HALLANDS LÄN</t>
        </is>
      </c>
      <c r="G294" t="inlineStr">
        <is>
          <t>LAHOLM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46291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46291</v>
      </c>
      <c r="F296" t="inlineStr">
        <is>
          <t>HALLANDS LÄN</t>
        </is>
      </c>
      <c r="G296" t="inlineStr">
        <is>
          <t>LAHOLM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46291</v>
      </c>
      <c r="F297" t="inlineStr">
        <is>
          <t>HALLANDS LÄN</t>
        </is>
      </c>
      <c r="G297" t="inlineStr">
        <is>
          <t>LAHOLM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46291</v>
      </c>
      <c r="F298" t="inlineStr">
        <is>
          <t>HALLANDS LÄN</t>
        </is>
      </c>
      <c r="G298" t="inlineStr">
        <is>
          <t>LAHOLM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46291</v>
      </c>
      <c r="F299" t="inlineStr">
        <is>
          <t>HALLANDS LÄN</t>
        </is>
      </c>
      <c r="G299" t="inlineStr">
        <is>
          <t>LAHOLM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46291</v>
      </c>
      <c r="F300" t="inlineStr">
        <is>
          <t>HALLANDS LÄN</t>
        </is>
      </c>
      <c r="G300" t="inlineStr">
        <is>
          <t>LAHOLM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46291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45139</v>
      </c>
      <c r="E302" s="1" t="n">
        <v>46291</v>
      </c>
      <c r="F302" t="inlineStr">
        <is>
          <t>HALLANDS LÄN</t>
        </is>
      </c>
      <c r="G302" t="inlineStr">
        <is>
          <t>LAHOLM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45139</v>
      </c>
      <c r="E303" s="1" t="n">
        <v>46291</v>
      </c>
      <c r="F303" t="inlineStr">
        <is>
          <t>HALLANDS LÄN</t>
        </is>
      </c>
      <c r="G303" t="inlineStr">
        <is>
          <t>LAHOLM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44880</v>
      </c>
      <c r="E304" s="1" t="n">
        <v>46291</v>
      </c>
      <c r="F304" t="inlineStr">
        <is>
          <t>HALLANDS LÄN</t>
        </is>
      </c>
      <c r="G304" t="inlineStr">
        <is>
          <t>LAHOLM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45635</v>
      </c>
      <c r="E305" s="1" t="n">
        <v>46291</v>
      </c>
      <c r="F305" t="inlineStr">
        <is>
          <t>HALLANDS LÄN</t>
        </is>
      </c>
      <c r="G305" t="inlineStr">
        <is>
          <t>LAHOLM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46291</v>
      </c>
      <c r="F306" t="inlineStr">
        <is>
          <t>HALLANDS LÄN</t>
        </is>
      </c>
      <c r="G306" t="inlineStr">
        <is>
          <t>LAHOLM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46291</v>
      </c>
      <c r="F307" t="inlineStr">
        <is>
          <t>HALLANDS LÄN</t>
        </is>
      </c>
      <c r="G307" t="inlineStr">
        <is>
          <t>LAHOLM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46291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46291</v>
      </c>
      <c r="F309" t="inlineStr">
        <is>
          <t>HALLANDS LÄN</t>
        </is>
      </c>
      <c r="G309" t="inlineStr">
        <is>
          <t>LAHOLM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46291</v>
      </c>
      <c r="F310" t="inlineStr">
        <is>
          <t>HALLANDS LÄN</t>
        </is>
      </c>
      <c r="G310" t="inlineStr">
        <is>
          <t>LAHOLM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46291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46291</v>
      </c>
      <c r="F312" t="inlineStr">
        <is>
          <t>HALLANDS LÄN</t>
        </is>
      </c>
      <c r="G312" t="inlineStr">
        <is>
          <t>LAHOLM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46291</v>
      </c>
      <c r="F313" t="inlineStr">
        <is>
          <t>HALLANDS LÄN</t>
        </is>
      </c>
      <c r="G313" t="inlineStr">
        <is>
          <t>LAHOLM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46291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46291</v>
      </c>
      <c r="F315" t="inlineStr">
        <is>
          <t>HALLANDS LÄN</t>
        </is>
      </c>
      <c r="G315" t="inlineStr">
        <is>
          <t>LAHOLM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60341-2024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45643</v>
      </c>
      <c r="E316" s="1" t="n">
        <v>46291</v>
      </c>
      <c r="F316" t="inlineStr">
        <is>
          <t>HALLANDS LÄN</t>
        </is>
      </c>
      <c r="G316" t="inlineStr">
        <is>
          <t>LAHOLM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45734</v>
      </c>
      <c r="E317" s="1" t="n">
        <v>46291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46291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46291</v>
      </c>
      <c r="F319" t="inlineStr">
        <is>
          <t>HALLANDS LÄN</t>
        </is>
      </c>
      <c r="G319" t="inlineStr">
        <is>
          <t>LAHOLM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46291</v>
      </c>
      <c r="F320" t="inlineStr">
        <is>
          <t>HALLANDS LÄN</t>
        </is>
      </c>
      <c r="G320" t="inlineStr">
        <is>
          <t>LAHOLM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46209</v>
      </c>
      <c r="E321" s="1" t="n">
        <v>46291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46291</v>
      </c>
      <c r="F322" t="inlineStr">
        <is>
          <t>HALLANDS LÄN</t>
        </is>
      </c>
      <c r="G322" t="inlineStr">
        <is>
          <t>LAHOLM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46291</v>
      </c>
      <c r="F323" t="inlineStr">
        <is>
          <t>HALLANDS LÄN</t>
        </is>
      </c>
      <c r="G323" t="inlineStr">
        <is>
          <t>LAHOLM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46291</v>
      </c>
      <c r="F324" t="inlineStr">
        <is>
          <t>HALLANDS LÄN</t>
        </is>
      </c>
      <c r="G324" t="inlineStr">
        <is>
          <t>LAHOLM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44802</v>
      </c>
      <c r="E325" s="1" t="n">
        <v>46291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46209</v>
      </c>
      <c r="E326" s="1" t="n">
        <v>46291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46291</v>
      </c>
      <c r="F327" t="inlineStr">
        <is>
          <t>HALLANDS LÄN</t>
        </is>
      </c>
      <c r="G327" t="inlineStr">
        <is>
          <t>LAHOLM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46291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46291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44594</v>
      </c>
      <c r="E330" s="1" t="n">
        <v>46291</v>
      </c>
      <c r="F330" t="inlineStr">
        <is>
          <t>HALLANDS LÄN</t>
        </is>
      </c>
      <c r="G330" t="inlineStr">
        <is>
          <t>LAHOLM</t>
        </is>
      </c>
      <c r="H330" t="inlineStr">
        <is>
          <t>Kommuner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46291</v>
      </c>
      <c r="F331" t="inlineStr">
        <is>
          <t>HALLANDS LÄN</t>
        </is>
      </c>
      <c r="G331" t="inlineStr">
        <is>
          <t>LAHOLM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46291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46291</v>
      </c>
      <c r="F333" t="inlineStr">
        <is>
          <t>HALLANDS LÄN</t>
        </is>
      </c>
      <c r="G333" t="inlineStr">
        <is>
          <t>LAHOLM</t>
        </is>
      </c>
      <c r="I333" t="n">
        <v>12.9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69589-2021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44532</v>
      </c>
      <c r="E334" s="1" t="n">
        <v>46291</v>
      </c>
      <c r="F334" t="inlineStr">
        <is>
          <t>HALLANDS LÄN</t>
        </is>
      </c>
      <c r="G334" t="inlineStr">
        <is>
          <t>LAHOLM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46291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46211</v>
      </c>
      <c r="E336" s="1" t="n">
        <v>46291</v>
      </c>
      <c r="F336" t="inlineStr">
        <is>
          <t>HALLANDS LÄN</t>
        </is>
      </c>
      <c r="G336" t="inlineStr">
        <is>
          <t>LAHOLM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45426</v>
      </c>
      <c r="E337" s="1" t="n">
        <v>46291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46291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44600</v>
      </c>
      <c r="E339" s="1" t="n">
        <v>46291</v>
      </c>
      <c r="F339" t="inlineStr">
        <is>
          <t>HALLANDS LÄN</t>
        </is>
      </c>
      <c r="G339" t="inlineStr">
        <is>
          <t>LAHOLM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46291</v>
      </c>
      <c r="F340" t="inlineStr">
        <is>
          <t>HALLANDS LÄN</t>
        </is>
      </c>
      <c r="G340" t="inlineStr">
        <is>
          <t>LAHOLM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46291</v>
      </c>
      <c r="F341" t="inlineStr">
        <is>
          <t>HALLANDS LÄN</t>
        </is>
      </c>
      <c r="G341" t="inlineStr">
        <is>
          <t>LAHOLM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45132</v>
      </c>
      <c r="E342" s="1" t="n">
        <v>46291</v>
      </c>
      <c r="F342" t="inlineStr">
        <is>
          <t>HALLANDS LÄN</t>
        </is>
      </c>
      <c r="G342" t="inlineStr">
        <is>
          <t>LAHOLM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46255</v>
      </c>
      <c r="E343" s="1" t="n">
        <v>46291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46291</v>
      </c>
      <c r="F344" t="inlineStr">
        <is>
          <t>HALLANDS LÄN</t>
        </is>
      </c>
      <c r="G344" t="inlineStr">
        <is>
          <t>LAHOLM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54309-2023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46291</v>
      </c>
      <c r="F345" t="inlineStr">
        <is>
          <t>HALLANDS LÄN</t>
        </is>
      </c>
      <c r="G345" t="inlineStr">
        <is>
          <t>LAHOLM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45179</v>
      </c>
      <c r="E346" s="1" t="n">
        <v>46291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46291</v>
      </c>
      <c r="F347" t="inlineStr">
        <is>
          <t>HALLANDS LÄN</t>
        </is>
      </c>
      <c r="G347" t="inlineStr">
        <is>
          <t>LAHOLM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46291</v>
      </c>
      <c r="F348" t="inlineStr">
        <is>
          <t>HALLANDS LÄN</t>
        </is>
      </c>
      <c r="G348" t="inlineStr">
        <is>
          <t>LAHOLM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46291</v>
      </c>
      <c r="F349" t="inlineStr">
        <is>
          <t>HALLANDS LÄN</t>
        </is>
      </c>
      <c r="G349" t="inlineStr">
        <is>
          <t>LAHOLM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45174</v>
      </c>
      <c r="E350" s="1" t="n">
        <v>46291</v>
      </c>
      <c r="F350" t="inlineStr">
        <is>
          <t>HALLANDS LÄN</t>
        </is>
      </c>
      <c r="G350" t="inlineStr">
        <is>
          <t>LAHOLM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46291</v>
      </c>
      <c r="F351" t="inlineStr">
        <is>
          <t>HALLANDS LÄN</t>
        </is>
      </c>
      <c r="G351" t="inlineStr">
        <is>
          <t>LAHOLM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46291</v>
      </c>
      <c r="F352" t="inlineStr">
        <is>
          <t>HALLANDS LÄN</t>
        </is>
      </c>
      <c r="G352" t="inlineStr">
        <is>
          <t>LAHOLM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46259</v>
      </c>
      <c r="E353" s="1" t="n">
        <v>46291</v>
      </c>
      <c r="F353" t="inlineStr">
        <is>
          <t>HALLANDS LÄN</t>
        </is>
      </c>
      <c r="G353" t="inlineStr">
        <is>
          <t>LAHOLM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44753</v>
      </c>
      <c r="E354" s="1" t="n">
        <v>46291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45171</v>
      </c>
      <c r="E355" s="1" t="n">
        <v>46291</v>
      </c>
      <c r="F355" t="inlineStr">
        <is>
          <t>HALLANDS LÄN</t>
        </is>
      </c>
      <c r="G355" t="inlineStr">
        <is>
          <t>LAHOLM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46643-2023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45195</v>
      </c>
      <c r="E356" s="1" t="n">
        <v>46291</v>
      </c>
      <c r="F356" t="inlineStr">
        <is>
          <t>HALLANDS LÄN</t>
        </is>
      </c>
      <c r="G356" t="inlineStr">
        <is>
          <t>LAHOLM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46291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45385</v>
      </c>
      <c r="E358" s="1" t="n">
        <v>46291</v>
      </c>
      <c r="F358" t="inlineStr">
        <is>
          <t>HALLANDS LÄN</t>
        </is>
      </c>
      <c r="G358" t="inlineStr">
        <is>
          <t>LAHOLM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46291</v>
      </c>
      <c r="F359" t="inlineStr">
        <is>
          <t>HALLANDS LÄN</t>
        </is>
      </c>
      <c r="G359" t="inlineStr">
        <is>
          <t>LAHOLM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46291</v>
      </c>
      <c r="F360" t="inlineStr">
        <is>
          <t>HALLANDS LÄN</t>
        </is>
      </c>
      <c r="G360" t="inlineStr">
        <is>
          <t>LAHOLM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46291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45231</v>
      </c>
      <c r="E362" s="1" t="n">
        <v>46291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45314</v>
      </c>
      <c r="E363" s="1" t="n">
        <v>46291</v>
      </c>
      <c r="F363" t="inlineStr">
        <is>
          <t>HALLANDS LÄN</t>
        </is>
      </c>
      <c r="G363" t="inlineStr">
        <is>
          <t>LAHOLM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46222</v>
      </c>
      <c r="E364" s="1" t="n">
        <v>46291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46291</v>
      </c>
      <c r="F365" t="inlineStr">
        <is>
          <t>HALLANDS LÄN</t>
        </is>
      </c>
      <c r="G365" t="inlineStr">
        <is>
          <t>LAHOLM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46291</v>
      </c>
      <c r="F366" t="inlineStr">
        <is>
          <t>HALLANDS LÄN</t>
        </is>
      </c>
      <c r="G366" t="inlineStr">
        <is>
          <t>LAHOLM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46291</v>
      </c>
      <c r="F367" t="inlineStr">
        <is>
          <t>HALLANDS LÄN</t>
        </is>
      </c>
      <c r="G367" t="inlineStr">
        <is>
          <t>LAHOLM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46291</v>
      </c>
      <c r="F368" t="inlineStr">
        <is>
          <t>HALLANDS LÄN</t>
        </is>
      </c>
      <c r="G368" t="inlineStr">
        <is>
          <t>LAHOLM</t>
        </is>
      </c>
      <c r="H368" t="inlineStr">
        <is>
          <t>Övriga statliga verk och myndigheter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45317</v>
      </c>
      <c r="E369" s="1" t="n">
        <v>46291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45131</v>
      </c>
      <c r="E370" s="1" t="n">
        <v>46291</v>
      </c>
      <c r="F370" t="inlineStr">
        <is>
          <t>HALLANDS LÄN</t>
        </is>
      </c>
      <c r="G370" t="inlineStr">
        <is>
          <t>LAHOLM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45268</v>
      </c>
      <c r="E371" s="1" t="n">
        <v>46291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44764</v>
      </c>
      <c r="E372" s="1" t="n">
        <v>46291</v>
      </c>
      <c r="F372" t="inlineStr">
        <is>
          <t>HALLANDS LÄN</t>
        </is>
      </c>
      <c r="G372" t="inlineStr">
        <is>
          <t>LAHOLM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46269</v>
      </c>
      <c r="E373" s="1" t="n">
        <v>46291</v>
      </c>
      <c r="F373" t="inlineStr">
        <is>
          <t>HALLANDS LÄN</t>
        </is>
      </c>
      <c r="G373" t="inlineStr">
        <is>
          <t>LAHOLM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46291</v>
      </c>
      <c r="F374" t="inlineStr">
        <is>
          <t>HALLANDS LÄN</t>
        </is>
      </c>
      <c r="G374" t="inlineStr">
        <is>
          <t>LAHOLM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46291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46291</v>
      </c>
      <c r="F376" t="inlineStr">
        <is>
          <t>HALLANDS LÄN</t>
        </is>
      </c>
      <c r="G376" t="inlineStr">
        <is>
          <t>LAHOLM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46291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45135</v>
      </c>
      <c r="E378" s="1" t="n">
        <v>46291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44901</v>
      </c>
      <c r="E379" s="1" t="n">
        <v>46291</v>
      </c>
      <c r="F379" t="inlineStr">
        <is>
          <t>HALLANDS LÄN</t>
        </is>
      </c>
      <c r="G379" t="inlineStr">
        <is>
          <t>LAHOLM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46291</v>
      </c>
      <c r="F380" t="inlineStr">
        <is>
          <t>HALLANDS LÄN</t>
        </is>
      </c>
      <c r="G380" t="inlineStr">
        <is>
          <t>LAHOLM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46291</v>
      </c>
      <c r="F381" t="inlineStr">
        <is>
          <t>HALLANDS LÄN</t>
        </is>
      </c>
      <c r="G381" t="inlineStr">
        <is>
          <t>LAHOLM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46291</v>
      </c>
      <c r="F382" t="inlineStr">
        <is>
          <t>HALLANDS LÄN</t>
        </is>
      </c>
      <c r="G382" t="inlineStr">
        <is>
          <t>LAHOLM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46291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44882</v>
      </c>
      <c r="E384" s="1" t="n">
        <v>46291</v>
      </c>
      <c r="F384" t="inlineStr">
        <is>
          <t>HALLANDS LÄN</t>
        </is>
      </c>
      <c r="G384" t="inlineStr">
        <is>
          <t>LAHOLM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46291</v>
      </c>
      <c r="F385" t="inlineStr">
        <is>
          <t>HALLANDS LÄN</t>
        </is>
      </c>
      <c r="G385" t="inlineStr">
        <is>
          <t>LAHOLM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46291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46291</v>
      </c>
      <c r="F387" t="inlineStr">
        <is>
          <t>HALLANDS LÄN</t>
        </is>
      </c>
      <c r="G387" t="inlineStr">
        <is>
          <t>LAHOLM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46237</v>
      </c>
      <c r="E388" s="1" t="n">
        <v>46291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45232</v>
      </c>
      <c r="E389" s="1" t="n">
        <v>46291</v>
      </c>
      <c r="F389" t="inlineStr">
        <is>
          <t>HALLANDS LÄN</t>
        </is>
      </c>
      <c r="G389" t="inlineStr">
        <is>
          <t>LAHOLM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59701-2022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46291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39465-2023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45166</v>
      </c>
      <c r="E391" s="1" t="n">
        <v>46291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38884-2026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46291</v>
      </c>
      <c r="F392" t="inlineStr">
        <is>
          <t>HALLANDS LÄN</t>
        </is>
      </c>
      <c r="G392" t="inlineStr">
        <is>
          <t>LAHOLM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46291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46291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45385</v>
      </c>
      <c r="E395" s="1" t="n">
        <v>46291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46291</v>
      </c>
      <c r="F396" t="inlineStr">
        <is>
          <t>HALLANDS LÄN</t>
        </is>
      </c>
      <c r="G396" t="inlineStr">
        <is>
          <t>LAHOLM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46171</v>
      </c>
      <c r="E397" s="1" t="n">
        <v>46291</v>
      </c>
      <c r="F397" t="inlineStr">
        <is>
          <t>HALLANDS LÄN</t>
        </is>
      </c>
      <c r="G397" t="inlineStr">
        <is>
          <t>LAHOLM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46291</v>
      </c>
      <c r="F398" t="inlineStr">
        <is>
          <t>HALLANDS LÄN</t>
        </is>
      </c>
      <c r="G398" t="inlineStr">
        <is>
          <t>LAHOLM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31358-2022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44774</v>
      </c>
      <c r="E399" s="1" t="n">
        <v>46291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46290</v>
      </c>
      <c r="E400" s="1" t="n">
        <v>46291</v>
      </c>
      <c r="F400" t="inlineStr">
        <is>
          <t>HALLANDS LÄN</t>
        </is>
      </c>
      <c r="G400" t="inlineStr">
        <is>
          <t>LAHOLM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46291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46246</v>
      </c>
      <c r="E402" s="1" t="n">
        <v>46291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8891-2024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45357</v>
      </c>
      <c r="E403" s="1" t="n">
        <v>46291</v>
      </c>
      <c r="F403" t="inlineStr">
        <is>
          <t>HALLANDS LÄN</t>
        </is>
      </c>
      <c r="G403" t="inlineStr">
        <is>
          <t>LAHOLM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44501</v>
      </c>
      <c r="E404" s="1" t="n">
        <v>46291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46290</v>
      </c>
      <c r="E405" s="1" t="n">
        <v>46291</v>
      </c>
      <c r="F405" t="inlineStr">
        <is>
          <t>HALLANDS LÄN</t>
        </is>
      </c>
      <c r="G405" t="inlineStr">
        <is>
          <t>LAHOLM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46246</v>
      </c>
      <c r="E406" s="1" t="n">
        <v>46291</v>
      </c>
      <c r="F406" t="inlineStr">
        <is>
          <t>HALLANDS LÄN</t>
        </is>
      </c>
      <c r="G406" t="inlineStr">
        <is>
          <t>LAHOLM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46291</v>
      </c>
      <c r="F407" t="inlineStr">
        <is>
          <t>HALLANDS LÄN</t>
        </is>
      </c>
      <c r="G407" t="inlineStr">
        <is>
          <t>LAHOLM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46290</v>
      </c>
      <c r="E408" s="1" t="n">
        <v>46291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46291</v>
      </c>
      <c r="F409" t="inlineStr">
        <is>
          <t>HALLANDS LÄN</t>
        </is>
      </c>
      <c r="G409" t="inlineStr">
        <is>
          <t>LAHOLM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46291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44726</v>
      </c>
      <c r="E411" s="1" t="n">
        <v>46291</v>
      </c>
      <c r="F411" t="inlineStr">
        <is>
          <t>HALLANDS LÄN</t>
        </is>
      </c>
      <c r="G411" t="inlineStr">
        <is>
          <t>LAHOLM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44726</v>
      </c>
      <c r="E412" s="1" t="n">
        <v>46291</v>
      </c>
      <c r="F412" t="inlineStr">
        <is>
          <t>HALLANDS LÄN</t>
        </is>
      </c>
      <c r="G412" t="inlineStr">
        <is>
          <t>LAHOLM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46291</v>
      </c>
      <c r="F413" t="inlineStr">
        <is>
          <t>HALLANDS LÄN</t>
        </is>
      </c>
      <c r="G413" t="inlineStr">
        <is>
          <t>LAHOLM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46291</v>
      </c>
      <c r="F414" t="inlineStr">
        <is>
          <t>HALLANDS LÄN</t>
        </is>
      </c>
      <c r="G414" t="inlineStr">
        <is>
          <t>LAHOLM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46291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45658</v>
      </c>
      <c r="E416" s="1" t="n">
        <v>46291</v>
      </c>
      <c r="F416" t="inlineStr">
        <is>
          <t>HALLANDS LÄN</t>
        </is>
      </c>
      <c r="G416" t="inlineStr">
        <is>
          <t>LAHOLM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45035</v>
      </c>
      <c r="E417" s="1" t="n">
        <v>46291</v>
      </c>
      <c r="F417" t="inlineStr">
        <is>
          <t>HALLANDS LÄN</t>
        </is>
      </c>
      <c r="G417" t="inlineStr">
        <is>
          <t>LAHOLM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46291</v>
      </c>
      <c r="F418" t="inlineStr">
        <is>
          <t>HALLANDS LÄN</t>
        </is>
      </c>
      <c r="G418" t="inlineStr">
        <is>
          <t>LAHOLM</t>
        </is>
      </c>
      <c r="H418" t="inlineStr">
        <is>
          <t>Kommuner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45440</v>
      </c>
      <c r="E419" s="1" t="n">
        <v>46291</v>
      </c>
      <c r="F419" t="inlineStr">
        <is>
          <t>HALLANDS LÄN</t>
        </is>
      </c>
      <c r="G419" t="inlineStr">
        <is>
          <t>LAHOLM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46291</v>
      </c>
      <c r="F420" t="inlineStr">
        <is>
          <t>HALLANDS LÄN</t>
        </is>
      </c>
      <c r="G420" t="inlineStr">
        <is>
          <t>LAHOLM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46291</v>
      </c>
      <c r="F421" t="inlineStr">
        <is>
          <t>HALLANDS LÄN</t>
        </is>
      </c>
      <c r="G421" t="inlineStr">
        <is>
          <t>LAHOLM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45112</v>
      </c>
      <c r="E422" s="1" t="n">
        <v>46291</v>
      </c>
      <c r="F422" t="inlineStr">
        <is>
          <t>HALLANDS LÄN</t>
        </is>
      </c>
      <c r="G422" t="inlineStr">
        <is>
          <t>LAHOLM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46291</v>
      </c>
      <c r="F423" t="inlineStr">
        <is>
          <t>HALLANDS LÄN</t>
        </is>
      </c>
      <c r="G423" t="inlineStr">
        <is>
          <t>LAHOLM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45453</v>
      </c>
      <c r="E424" s="1" t="n">
        <v>46291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45327</v>
      </c>
      <c r="E425" s="1" t="n">
        <v>46291</v>
      </c>
      <c r="F425" t="inlineStr">
        <is>
          <t>HALLANDS LÄN</t>
        </is>
      </c>
      <c r="G425" t="inlineStr">
        <is>
          <t>LAHOLM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44810</v>
      </c>
      <c r="E426" s="1" t="n">
        <v>46291</v>
      </c>
      <c r="F426" t="inlineStr">
        <is>
          <t>HALLANDS LÄN</t>
        </is>
      </c>
      <c r="G426" t="inlineStr">
        <is>
          <t>LAHOLM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45057</v>
      </c>
      <c r="E427" s="1" t="n">
        <v>46291</v>
      </c>
      <c r="F427" t="inlineStr">
        <is>
          <t>HALLANDS LÄN</t>
        </is>
      </c>
      <c r="G427" t="inlineStr">
        <is>
          <t>LAHOLM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44949</v>
      </c>
      <c r="E428" s="1" t="n">
        <v>46291</v>
      </c>
      <c r="F428" t="inlineStr">
        <is>
          <t>HALLANDS LÄN</t>
        </is>
      </c>
      <c r="G428" t="inlineStr">
        <is>
          <t>LAHOLM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6833-2022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44602</v>
      </c>
      <c r="E429" s="1" t="n">
        <v>46291</v>
      </c>
      <c r="F429" t="inlineStr">
        <is>
          <t>HALLANDS LÄN</t>
        </is>
      </c>
      <c r="G429" t="inlineStr">
        <is>
          <t>LAHOLM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45156</v>
      </c>
      <c r="E430" s="1" t="n">
        <v>46291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44943</v>
      </c>
      <c r="E431" s="1" t="n">
        <v>46291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54802-2022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44883</v>
      </c>
      <c r="E432" s="1" t="n">
        <v>46291</v>
      </c>
      <c r="F432" t="inlineStr">
        <is>
          <t>HALLANDS LÄN</t>
        </is>
      </c>
      <c r="G432" t="inlineStr">
        <is>
          <t>LAHOLM</t>
        </is>
      </c>
      <c r="H432" t="inlineStr">
        <is>
          <t>Kommuner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46291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46291</v>
      </c>
      <c r="F434" t="inlineStr">
        <is>
          <t>HALLANDS LÄN</t>
        </is>
      </c>
      <c r="G434" t="inlineStr">
        <is>
          <t>LAHOLM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51134-2023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46291</v>
      </c>
      <c r="F435" t="inlineStr">
        <is>
          <t>HALLANDS LÄN</t>
        </is>
      </c>
      <c r="G435" t="inlineStr">
        <is>
          <t>LAHOLM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45664</v>
      </c>
      <c r="E436" s="1" t="n">
        <v>46291</v>
      </c>
      <c r="F436" t="inlineStr">
        <is>
          <t>HALLANDS LÄN</t>
        </is>
      </c>
      <c r="G436" t="inlineStr">
        <is>
          <t>LAHOLM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46291</v>
      </c>
      <c r="F437" t="inlineStr">
        <is>
          <t>HALLANDS LÄN</t>
        </is>
      </c>
      <c r="G437" t="inlineStr">
        <is>
          <t>LAHOLM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46291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46291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46291</v>
      </c>
      <c r="F440" t="inlineStr">
        <is>
          <t>HALLANDS LÄN</t>
        </is>
      </c>
      <c r="G440" t="inlineStr">
        <is>
          <t>LAHOLM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45040</v>
      </c>
      <c r="E441" s="1" t="n">
        <v>46291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46291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46291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44929</v>
      </c>
      <c r="E444" s="1" t="n">
        <v>46291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46291</v>
      </c>
      <c r="F445" t="inlineStr">
        <is>
          <t>HALLANDS LÄN</t>
        </is>
      </c>
      <c r="G445" t="inlineStr">
        <is>
          <t>LAHOLM</t>
        </is>
      </c>
      <c r="H445" t="inlineStr">
        <is>
          <t>Övriga Aktiebolag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46291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46291</v>
      </c>
      <c r="F447" t="inlineStr">
        <is>
          <t>HALLANDS LÄN</t>
        </is>
      </c>
      <c r="G447" t="inlineStr">
        <is>
          <t>LAHOLM</t>
        </is>
      </c>
      <c r="H447" t="inlineStr">
        <is>
          <t>Sveaskog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45206</v>
      </c>
      <c r="E448" s="1" t="n">
        <v>46291</v>
      </c>
      <c r="F448" t="inlineStr">
        <is>
          <t>HALLANDS LÄN</t>
        </is>
      </c>
      <c r="G448" t="inlineStr">
        <is>
          <t>LAHOLM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46291</v>
      </c>
      <c r="F449" t="inlineStr">
        <is>
          <t>HALLANDS LÄN</t>
        </is>
      </c>
      <c r="G449" t="inlineStr">
        <is>
          <t>LAHOLM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46291</v>
      </c>
      <c r="F450" t="inlineStr">
        <is>
          <t>HALLANDS LÄN</t>
        </is>
      </c>
      <c r="G450" t="inlineStr">
        <is>
          <t>LAHOLM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46291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46291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45576</v>
      </c>
      <c r="E453" s="1" t="n">
        <v>46291</v>
      </c>
      <c r="F453" t="inlineStr">
        <is>
          <t>HALLANDS LÄN</t>
        </is>
      </c>
      <c r="G453" t="inlineStr">
        <is>
          <t>LAHOLM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45538</v>
      </c>
      <c r="E454" s="1" t="n">
        <v>46291</v>
      </c>
      <c r="F454" t="inlineStr">
        <is>
          <t>HALLANDS LÄN</t>
        </is>
      </c>
      <c r="G454" t="inlineStr">
        <is>
          <t>LAHOLM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46291</v>
      </c>
      <c r="F455" t="inlineStr">
        <is>
          <t>HALLANDS LÄN</t>
        </is>
      </c>
      <c r="G455" t="inlineStr">
        <is>
          <t>LAHOLM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46291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45000</v>
      </c>
      <c r="E457" s="1" t="n">
        <v>46291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47586-2024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45587</v>
      </c>
      <c r="E458" s="1" t="n">
        <v>46291</v>
      </c>
      <c r="F458" t="inlineStr">
        <is>
          <t>HALLANDS LÄN</t>
        </is>
      </c>
      <c r="G458" t="inlineStr">
        <is>
          <t>LAHOLM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46291</v>
      </c>
      <c r="F459" t="inlineStr">
        <is>
          <t>HALLANDS LÄN</t>
        </is>
      </c>
      <c r="G459" t="inlineStr">
        <is>
          <t>LAHOLM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46291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46291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46291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46291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46291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46291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46291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46291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46291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46291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46291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46291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46291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46291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46291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46291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46291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2026-09-26T02:02:22Z</dcterms:created>
  <dcterms:modified xmlns:dcterms="http://purl.org/dc/terms/" xmlns:xsi="http://www.w3.org/2001/XMLSchema-instance" xsi:type="dcterms:W3CDTF">2026-09-26T02:02:23Z</dcterms:modified>
</cp:coreProperties>
</file>