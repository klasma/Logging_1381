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46263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46263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46263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46263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46263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46263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46263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46263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46263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46263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46263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46263</v>
      </c>
      <c r="F23" t="inlineStr">
        <is>
          <t>HALLANDS LÄN</t>
        </is>
      </c>
      <c r="G23" t="inlineStr">
        <is>
          <t>LAHOLM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HYPERLINK("https://klasma.github.io/Logging_1381/artfynd/A 3576-2025 artfynd.xlsx", "A 3576-2025")</f>
        <v/>
      </c>
      <c r="X23">
        <f>HYPERLINK("https://klasma.github.io/Logging_1381/kartor/A 3576-2025 karta.png", "A 3576-2025")</f>
        <v/>
      </c>
      <c r="Y23">
        <f>HYPERLINK("https://klasma.github.io/Logging_1381/kartor_geotiff/A 3576-2025 georefererad karta.tif", "A 3576-2025")</f>
        <v/>
      </c>
      <c r="AA23">
        <f>HYPERLINK("https://klasma.github.io/Logging_1381/klagomål/A 3576-2025 FSC-klagomål.docx", "A 3576-2025")</f>
        <v/>
      </c>
      <c r="AB23">
        <f>HYPERLINK("https://klasma.github.io/Logging_1381/klagomålsmail/A 3576-2025 FSC-klagomål mail.docx", "A 3576-2025")</f>
        <v/>
      </c>
      <c r="AC23">
        <f>HYPERLINK("https://klasma.github.io/Logging_1381/tillsyn/A 3576-2025 tillsynsbegäran.docx", "A 3576-2025")</f>
        <v/>
      </c>
      <c r="AD23">
        <f>HYPERLINK("https://klasma.github.io/Logging_1381/tillsynsmail/A 3576-2025 tillsynsbegäran mail.docx", "A 3576-2025")</f>
        <v/>
      </c>
      <c r="AE23">
        <f>HYPERLINK("https://klasma.github.io/Logging_1381/fåglar/A 3576-2025 prioriterade fågelarter.docx", "A 3576-2025")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46263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46263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27179-2025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46263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HYPERLINK("https://klasma.github.io/Logging_1381/artfynd/A 27179-2025 artfynd.xlsx", "A 27179-2025")</f>
        <v/>
      </c>
      <c r="X26">
        <f>HYPERLINK("https://klasma.github.io/Logging_1381/kartor/A 27179-2025 karta.png", "A 27179-2025")</f>
        <v/>
      </c>
      <c r="Y26">
        <f>HYPERLINK("https://klasma.github.io/Logging_1381/kartor_geotiff/A 27179-2025 georefererad karta.tif", "A 27179-2025")</f>
        <v/>
      </c>
      <c r="AA26">
        <f>HYPERLINK("https://klasma.github.io/Logging_1381/klagomål/A 27179-2025 FSC-klagomål.docx", "A 27179-2025")</f>
        <v/>
      </c>
      <c r="AB26">
        <f>HYPERLINK("https://klasma.github.io/Logging_1381/klagomålsmail/A 27179-2025 FSC-klagomål mail.docx", "A 27179-2025")</f>
        <v/>
      </c>
      <c r="AC26">
        <f>HYPERLINK("https://klasma.github.io/Logging_1381/tillsyn/A 27179-2025 tillsynsbegäran.docx", "A 27179-2025")</f>
        <v/>
      </c>
      <c r="AD26">
        <f>HYPERLINK("https://klasma.github.io/Logging_1381/tillsynsmail/A 27179-2025 tillsynsbegäran mail.docx", "A 27179-2025")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46263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46263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46263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46263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52155-2023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46263</v>
      </c>
      <c r="F31" t="inlineStr">
        <is>
          <t>HALLANDS LÄN</t>
        </is>
      </c>
      <c r="G31" t="inlineStr">
        <is>
          <t>LAHOLM</t>
        </is>
      </c>
      <c r="I31" t="n">
        <v>2.6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HYPERLINK("https://klasma.github.io/Logging_1381/artfynd/A 52155-2023 artfynd.xlsx", "A 52155-2023")</f>
        <v/>
      </c>
      <c r="X31">
        <f>HYPERLINK("https://klasma.github.io/Logging_1381/kartor/A 52155-2023 karta.png", "A 52155-2023")</f>
        <v/>
      </c>
      <c r="Y31">
        <f>HYPERLINK("https://klasma.github.io/Logging_1381/kartor_geotiff/A 52155-2023 georefererad karta.tif", "A 52155-2023")</f>
        <v/>
      </c>
      <c r="AA31">
        <f>HYPERLINK("https://klasma.github.io/Logging_1381/klagomål/A 52155-2023 FSC-klagomål.docx", "A 52155-2023")</f>
        <v/>
      </c>
      <c r="AB31">
        <f>HYPERLINK("https://klasma.github.io/Logging_1381/klagomålsmail/A 52155-2023 FSC-klagomål mail.docx", "A 52155-2023")</f>
        <v/>
      </c>
      <c r="AC31">
        <f>HYPERLINK("https://klasma.github.io/Logging_1381/tillsyn/A 52155-2023 tillsynsbegäran.docx", "A 52155-2023")</f>
        <v/>
      </c>
      <c r="AD31">
        <f>HYPERLINK("https://klasma.github.io/Logging_1381/tillsynsmail/A 52155-2023 tillsynsbegäran mail.docx", "A 52155-2023")</f>
        <v/>
      </c>
      <c r="AE31">
        <f>HYPERLINK("https://klasma.github.io/Logging_1381/fåglar/A 52155-2023 prioriterade fågelarter.docx", "A 52155-2023")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46263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46263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46263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46263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46263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46263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46263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46263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46263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46263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46263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46263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46263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46263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46263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46263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46263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46263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46263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46263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46263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46263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46263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46263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46263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46263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46263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46263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46263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46263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46263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46263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46263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46263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46263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46263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46263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46263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46263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46263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46263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46263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46263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46263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46263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46263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45625</v>
      </c>
      <c r="E78" s="1" t="n">
        <v>46263</v>
      </c>
      <c r="F78" t="inlineStr">
        <is>
          <t>HALLANDS LÄN</t>
        </is>
      </c>
      <c r="G78" t="inlineStr">
        <is>
          <t>LAHOLM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46263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46263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46263</v>
      </c>
      <c r="F81" t="inlineStr">
        <is>
          <t>HALLANDS LÄN</t>
        </is>
      </c>
      <c r="G81" t="inlineStr">
        <is>
          <t>LAHOLM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46263</v>
      </c>
      <c r="F82" t="inlineStr">
        <is>
          <t>HALLANDS LÄN</t>
        </is>
      </c>
      <c r="G82" t="inlineStr">
        <is>
          <t>LAHOLM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46263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46263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46263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46263</v>
      </c>
      <c r="F86" t="inlineStr">
        <is>
          <t>HALLANDS LÄN</t>
        </is>
      </c>
      <c r="G86" t="inlineStr">
        <is>
          <t>LAHOLM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46263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46263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45135</v>
      </c>
      <c r="E89" s="1" t="n">
        <v>46263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44771</v>
      </c>
      <c r="E90" s="1" t="n">
        <v>46263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45362</v>
      </c>
      <c r="E91" s="1" t="n">
        <v>46263</v>
      </c>
      <c r="F91" t="inlineStr">
        <is>
          <t>HALLANDS LÄN</t>
        </is>
      </c>
      <c r="G91" t="inlineStr">
        <is>
          <t>LAHOLM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46263</v>
      </c>
      <c r="F92" t="inlineStr">
        <is>
          <t>HALLANDS LÄN</t>
        </is>
      </c>
      <c r="G92" t="inlineStr">
        <is>
          <t>LAHOLM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46263</v>
      </c>
      <c r="F93" t="inlineStr">
        <is>
          <t>HALLANDS LÄN</t>
        </is>
      </c>
      <c r="G93" t="inlineStr">
        <is>
          <t>LAHOLM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46263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45959</v>
      </c>
      <c r="E95" s="1" t="n">
        <v>46263</v>
      </c>
      <c r="F95" t="inlineStr">
        <is>
          <t>HALLANDS LÄN</t>
        </is>
      </c>
      <c r="G95" t="inlineStr">
        <is>
          <t>LAHOLM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44901</v>
      </c>
      <c r="E96" s="1" t="n">
        <v>46263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46263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45646</v>
      </c>
      <c r="E98" s="1" t="n">
        <v>46263</v>
      </c>
      <c r="F98" t="inlineStr">
        <is>
          <t>HALLANDS LÄN</t>
        </is>
      </c>
      <c r="G98" t="inlineStr">
        <is>
          <t>LAHOLM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46263</v>
      </c>
      <c r="F99" t="inlineStr">
        <is>
          <t>HALLANDS LÄN</t>
        </is>
      </c>
      <c r="G99" t="inlineStr">
        <is>
          <t>LAHOLM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46263</v>
      </c>
      <c r="F100" t="inlineStr">
        <is>
          <t>HALLANDS LÄN</t>
        </is>
      </c>
      <c r="G100" t="inlineStr">
        <is>
          <t>LAHOLM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46263</v>
      </c>
      <c r="F101" t="inlineStr">
        <is>
          <t>HALLANDS LÄN</t>
        </is>
      </c>
      <c r="G101" t="inlineStr">
        <is>
          <t>LAHOLM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36930-2024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45538</v>
      </c>
      <c r="E102" s="1" t="n">
        <v>46263</v>
      </c>
      <c r="F102" t="inlineStr">
        <is>
          <t>HALLANDS LÄN</t>
        </is>
      </c>
      <c r="G102" t="inlineStr">
        <is>
          <t>LAHOLM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46263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46263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46263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46263</v>
      </c>
      <c r="F106" t="inlineStr">
        <is>
          <t>HALLANDS LÄN</t>
        </is>
      </c>
      <c r="G106" t="inlineStr">
        <is>
          <t>LAHOLM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46263</v>
      </c>
      <c r="F107" t="inlineStr">
        <is>
          <t>HALLANDS LÄN</t>
        </is>
      </c>
      <c r="G107" t="inlineStr">
        <is>
          <t>LAHOLM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46263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46263</v>
      </c>
      <c r="F109" t="inlineStr">
        <is>
          <t>HALLANDS LÄN</t>
        </is>
      </c>
      <c r="G109" t="inlineStr">
        <is>
          <t>LAHOLM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46263</v>
      </c>
      <c r="F110" t="inlineStr">
        <is>
          <t>HALLANDS LÄN</t>
        </is>
      </c>
      <c r="G110" t="inlineStr">
        <is>
          <t>LAHOLM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46263</v>
      </c>
      <c r="F111" t="inlineStr">
        <is>
          <t>HALLANDS LÄN</t>
        </is>
      </c>
      <c r="G111" t="inlineStr">
        <is>
          <t>LAHOLM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46263</v>
      </c>
      <c r="F112" t="inlineStr">
        <is>
          <t>HALLANDS LÄN</t>
        </is>
      </c>
      <c r="G112" t="inlineStr">
        <is>
          <t>LAHOLM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46263</v>
      </c>
      <c r="F113" t="inlineStr">
        <is>
          <t>HALLANDS LÄN</t>
        </is>
      </c>
      <c r="G113" t="inlineStr">
        <is>
          <t>LAHOLM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46263</v>
      </c>
      <c r="F114" t="inlineStr">
        <is>
          <t>HALLANDS LÄN</t>
        </is>
      </c>
      <c r="G114" t="inlineStr">
        <is>
          <t>LAHOLM</t>
        </is>
      </c>
      <c r="H114" t="inlineStr">
        <is>
          <t>Övriga statliga verk och myndigheter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46263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46263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46263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45239</v>
      </c>
      <c r="E118" s="1" t="n">
        <v>46263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46263</v>
      </c>
      <c r="F119" t="inlineStr">
        <is>
          <t>HALLANDS LÄN</t>
        </is>
      </c>
      <c r="G119" t="inlineStr">
        <is>
          <t>LAHOLM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46263</v>
      </c>
      <c r="F120" t="inlineStr">
        <is>
          <t>HALLANDS LÄN</t>
        </is>
      </c>
      <c r="G120" t="inlineStr">
        <is>
          <t>LAHOLM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46263</v>
      </c>
      <c r="F121" t="inlineStr">
        <is>
          <t>HALLANDS LÄN</t>
        </is>
      </c>
      <c r="G121" t="inlineStr">
        <is>
          <t>LAHOLM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46263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46263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46263</v>
      </c>
      <c r="F124" t="inlineStr">
        <is>
          <t>HALLANDS LÄN</t>
        </is>
      </c>
      <c r="G124" t="inlineStr">
        <is>
          <t>LAHOLM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46263</v>
      </c>
      <c r="F125" t="inlineStr">
        <is>
          <t>HALLANDS LÄN</t>
        </is>
      </c>
      <c r="G125" t="inlineStr">
        <is>
          <t>LAHOLM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46263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46263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46263</v>
      </c>
      <c r="F128" t="inlineStr">
        <is>
          <t>HALLANDS LÄN</t>
        </is>
      </c>
      <c r="G128" t="inlineStr">
        <is>
          <t>LAHOLM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64566-2021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44511</v>
      </c>
      <c r="E129" s="1" t="n">
        <v>46263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64575-2021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44511</v>
      </c>
      <c r="E130" s="1" t="n">
        <v>46263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46263</v>
      </c>
      <c r="F131" t="inlineStr">
        <is>
          <t>HALLANDS LÄN</t>
        </is>
      </c>
      <c r="G131" t="inlineStr">
        <is>
          <t>LAHOLM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46263</v>
      </c>
      <c r="F132" t="inlineStr">
        <is>
          <t>HALLANDS LÄN</t>
        </is>
      </c>
      <c r="G132" t="inlineStr">
        <is>
          <t>LAHOLM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46263</v>
      </c>
      <c r="F133" t="inlineStr">
        <is>
          <t>HALLANDS LÄN</t>
        </is>
      </c>
      <c r="G133" t="inlineStr">
        <is>
          <t>LAHOLM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45979</v>
      </c>
      <c r="E134" s="1" t="n">
        <v>46263</v>
      </c>
      <c r="F134" t="inlineStr">
        <is>
          <t>HALLANDS LÄN</t>
        </is>
      </c>
      <c r="G134" t="inlineStr">
        <is>
          <t>LAHOLM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46263</v>
      </c>
      <c r="F135" t="inlineStr">
        <is>
          <t>HALLANDS LÄN</t>
        </is>
      </c>
      <c r="G135" t="inlineStr">
        <is>
          <t>LAHOLM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45349</v>
      </c>
      <c r="E136" s="1" t="n">
        <v>46263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46263</v>
      </c>
      <c r="F137" t="inlineStr">
        <is>
          <t>HALLANDS LÄN</t>
        </is>
      </c>
      <c r="G137" t="inlineStr">
        <is>
          <t>LAHOLM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39930-2024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46263</v>
      </c>
      <c r="F138" t="inlineStr">
        <is>
          <t>HALLANDS LÄN</t>
        </is>
      </c>
      <c r="G138" t="inlineStr">
        <is>
          <t>LAHOLM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44639</v>
      </c>
      <c r="E139" s="1" t="n">
        <v>46263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46263</v>
      </c>
      <c r="F140" t="inlineStr">
        <is>
          <t>HALLANDS LÄN</t>
        </is>
      </c>
      <c r="G140" t="inlineStr">
        <is>
          <t>LAHOLM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46263</v>
      </c>
      <c r="F141" t="inlineStr">
        <is>
          <t>HALLANDS LÄN</t>
        </is>
      </c>
      <c r="G141" t="inlineStr">
        <is>
          <t>LAHOLM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45171</v>
      </c>
      <c r="E142" s="1" t="n">
        <v>46263</v>
      </c>
      <c r="F142" t="inlineStr">
        <is>
          <t>HALLANDS LÄN</t>
        </is>
      </c>
      <c r="G142" t="inlineStr">
        <is>
          <t>LAHOLM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61785-2021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46263</v>
      </c>
      <c r="F143" t="inlineStr">
        <is>
          <t>HALLANDS LÄN</t>
        </is>
      </c>
      <c r="G143" t="inlineStr">
        <is>
          <t>LAHOLM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45519</v>
      </c>
      <c r="E144" s="1" t="n">
        <v>46263</v>
      </c>
      <c r="F144" t="inlineStr">
        <is>
          <t>HALLANDS LÄN</t>
        </is>
      </c>
      <c r="G144" t="inlineStr">
        <is>
          <t>LAHOLM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46263</v>
      </c>
      <c r="F145" t="inlineStr">
        <is>
          <t>HALLANDS LÄN</t>
        </is>
      </c>
      <c r="G145" t="inlineStr">
        <is>
          <t>LAHOLM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46263</v>
      </c>
      <c r="F146" t="inlineStr">
        <is>
          <t>HALLANDS LÄN</t>
        </is>
      </c>
      <c r="G146" t="inlineStr">
        <is>
          <t>LAHOLM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46263</v>
      </c>
      <c r="F147" t="inlineStr">
        <is>
          <t>HALLANDS LÄN</t>
        </is>
      </c>
      <c r="G147" t="inlineStr">
        <is>
          <t>LAHOLM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46263</v>
      </c>
      <c r="F148" t="inlineStr">
        <is>
          <t>HALLANDS LÄN</t>
        </is>
      </c>
      <c r="G148" t="inlineStr">
        <is>
          <t>LAHOLM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46263</v>
      </c>
      <c r="F149" t="inlineStr">
        <is>
          <t>HALLANDS LÄN</t>
        </is>
      </c>
      <c r="G149" t="inlineStr">
        <is>
          <t>LAHOLM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46263</v>
      </c>
      <c r="F150" t="inlineStr">
        <is>
          <t>HALLANDS LÄN</t>
        </is>
      </c>
      <c r="G150" t="inlineStr">
        <is>
          <t>LAHOLM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46263</v>
      </c>
      <c r="F151" t="inlineStr">
        <is>
          <t>HALLANDS LÄN</t>
        </is>
      </c>
      <c r="G151" t="inlineStr">
        <is>
          <t>LAHOLM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46263</v>
      </c>
      <c r="F152" t="inlineStr">
        <is>
          <t>HALLANDS LÄN</t>
        </is>
      </c>
      <c r="G152" t="inlineStr">
        <is>
          <t>LAHOLM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44572</v>
      </c>
      <c r="E153" s="1" t="n">
        <v>46263</v>
      </c>
      <c r="F153" t="inlineStr">
        <is>
          <t>HALLANDS LÄN</t>
        </is>
      </c>
      <c r="G153" t="inlineStr">
        <is>
          <t>LAHOLM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46263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46263</v>
      </c>
      <c r="F155" t="inlineStr">
        <is>
          <t>HALLANDS LÄN</t>
        </is>
      </c>
      <c r="G155" t="inlineStr">
        <is>
          <t>LAHOLM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46263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46263</v>
      </c>
      <c r="F157" t="inlineStr">
        <is>
          <t>HALLANDS LÄN</t>
        </is>
      </c>
      <c r="G157" t="inlineStr">
        <is>
          <t>LAHOLM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46263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46263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46263</v>
      </c>
      <c r="F160" t="inlineStr">
        <is>
          <t>HALLANDS LÄN</t>
        </is>
      </c>
      <c r="G160" t="inlineStr">
        <is>
          <t>LAHOLM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45843</v>
      </c>
      <c r="E161" s="1" t="n">
        <v>46263</v>
      </c>
      <c r="F161" t="inlineStr">
        <is>
          <t>HALLANDS LÄN</t>
        </is>
      </c>
      <c r="G161" t="inlineStr">
        <is>
          <t>LAHOLM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46263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45006</v>
      </c>
      <c r="E163" s="1" t="n">
        <v>46263</v>
      </c>
      <c r="F163" t="inlineStr">
        <is>
          <t>HALLANDS LÄN</t>
        </is>
      </c>
      <c r="G163" t="inlineStr">
        <is>
          <t>LAHOLM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46263</v>
      </c>
      <c r="F164" t="inlineStr">
        <is>
          <t>HALLANDS LÄN</t>
        </is>
      </c>
      <c r="G164" t="inlineStr">
        <is>
          <t>LAHOLM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46263</v>
      </c>
      <c r="F165" t="inlineStr">
        <is>
          <t>HALLANDS LÄN</t>
        </is>
      </c>
      <c r="G165" t="inlineStr">
        <is>
          <t>LAHOLM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46263</v>
      </c>
      <c r="F166" t="inlineStr">
        <is>
          <t>HALLANDS LÄN</t>
        </is>
      </c>
      <c r="G166" t="inlineStr">
        <is>
          <t>LAHOLM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46263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46263</v>
      </c>
      <c r="F168" t="inlineStr">
        <is>
          <t>HALLANDS LÄN</t>
        </is>
      </c>
      <c r="G168" t="inlineStr">
        <is>
          <t>LAHOLM</t>
        </is>
      </c>
      <c r="H168" t="inlineStr">
        <is>
          <t>Övriga Aktiebolag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45020</v>
      </c>
      <c r="E169" s="1" t="n">
        <v>46263</v>
      </c>
      <c r="F169" t="inlineStr">
        <is>
          <t>HALLANDS LÄN</t>
        </is>
      </c>
      <c r="G169" t="inlineStr">
        <is>
          <t>LAHOLM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46263</v>
      </c>
      <c r="F170" t="inlineStr">
        <is>
          <t>HALLANDS LÄN</t>
        </is>
      </c>
      <c r="G170" t="inlineStr">
        <is>
          <t>LAHOLM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46263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45802</v>
      </c>
      <c r="E172" s="1" t="n">
        <v>46263</v>
      </c>
      <c r="F172" t="inlineStr">
        <is>
          <t>HALLANDS LÄN</t>
        </is>
      </c>
      <c r="G172" t="inlineStr">
        <is>
          <t>LAHOLM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46263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46263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46263</v>
      </c>
      <c r="F175" t="inlineStr">
        <is>
          <t>HALLANDS LÄN</t>
        </is>
      </c>
      <c r="G175" t="inlineStr">
        <is>
          <t>LAHOLM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46263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46263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46263</v>
      </c>
      <c r="F178" t="inlineStr">
        <is>
          <t>HALLANDS LÄN</t>
        </is>
      </c>
      <c r="G178" t="inlineStr">
        <is>
          <t>LAHOLM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46263</v>
      </c>
      <c r="F179" t="inlineStr">
        <is>
          <t>HALLANDS LÄN</t>
        </is>
      </c>
      <c r="G179" t="inlineStr">
        <is>
          <t>LAHOLM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46263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45485</v>
      </c>
      <c r="E181" s="1" t="n">
        <v>46263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46263</v>
      </c>
      <c r="F182" t="inlineStr">
        <is>
          <t>HALLANDS LÄN</t>
        </is>
      </c>
      <c r="G182" t="inlineStr">
        <is>
          <t>LAHOLM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45156</v>
      </c>
      <c r="E183" s="1" t="n">
        <v>46263</v>
      </c>
      <c r="F183" t="inlineStr">
        <is>
          <t>HALLANDS LÄN</t>
        </is>
      </c>
      <c r="G183" t="inlineStr">
        <is>
          <t>LAHOLM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65916-2021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46263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46263</v>
      </c>
      <c r="F185" t="inlineStr">
        <is>
          <t>HALLANDS LÄN</t>
        </is>
      </c>
      <c r="G185" t="inlineStr">
        <is>
          <t>LAHOLM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46263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46263</v>
      </c>
      <c r="F187" t="inlineStr">
        <is>
          <t>HALLANDS LÄN</t>
        </is>
      </c>
      <c r="G187" t="inlineStr">
        <is>
          <t>LAHOLM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46263</v>
      </c>
      <c r="F188" t="inlineStr">
        <is>
          <t>HALLANDS LÄN</t>
        </is>
      </c>
      <c r="G188" t="inlineStr">
        <is>
          <t>LAHOLM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45096</v>
      </c>
      <c r="E189" s="1" t="n">
        <v>46263</v>
      </c>
      <c r="F189" t="inlineStr">
        <is>
          <t>HALLANDS LÄN</t>
        </is>
      </c>
      <c r="G189" t="inlineStr">
        <is>
          <t>LAHOLM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45168</v>
      </c>
      <c r="E190" s="1" t="n">
        <v>46263</v>
      </c>
      <c r="F190" t="inlineStr">
        <is>
          <t>HALLANDS LÄN</t>
        </is>
      </c>
      <c r="G190" t="inlineStr">
        <is>
          <t>LAHOLM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46263</v>
      </c>
      <c r="F191" t="inlineStr">
        <is>
          <t>HALLANDS LÄN</t>
        </is>
      </c>
      <c r="G191" t="inlineStr">
        <is>
          <t>LAHOLM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46263</v>
      </c>
      <c r="F192" t="inlineStr">
        <is>
          <t>HALLANDS LÄN</t>
        </is>
      </c>
      <c r="G192" t="inlineStr">
        <is>
          <t>LAHOLM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46263</v>
      </c>
      <c r="F193" t="inlineStr">
        <is>
          <t>HALLANDS LÄN</t>
        </is>
      </c>
      <c r="G193" t="inlineStr">
        <is>
          <t>LAHOLM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46263</v>
      </c>
      <c r="F194" t="inlineStr">
        <is>
          <t>HALLANDS LÄN</t>
        </is>
      </c>
      <c r="G194" t="inlineStr">
        <is>
          <t>LAHOLM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53598-2021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46263</v>
      </c>
      <c r="F195" t="inlineStr">
        <is>
          <t>HALLANDS LÄN</t>
        </is>
      </c>
      <c r="G195" t="inlineStr">
        <is>
          <t>LAHOLM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46263</v>
      </c>
      <c r="F196" t="inlineStr">
        <is>
          <t>HALLANDS LÄN</t>
        </is>
      </c>
      <c r="G196" t="inlineStr">
        <is>
          <t>LAHOLM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46263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46263</v>
      </c>
      <c r="F198" t="inlineStr">
        <is>
          <t>HALLANDS LÄN</t>
        </is>
      </c>
      <c r="G198" t="inlineStr">
        <is>
          <t>LAHOLM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46263</v>
      </c>
      <c r="F199" t="inlineStr">
        <is>
          <t>HALLANDS LÄN</t>
        </is>
      </c>
      <c r="G199" t="inlineStr">
        <is>
          <t>LAHOLM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46263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44977</v>
      </c>
      <c r="E201" s="1" t="n">
        <v>46263</v>
      </c>
      <c r="F201" t="inlineStr">
        <is>
          <t>HALLANDS LÄN</t>
        </is>
      </c>
      <c r="G201" t="inlineStr">
        <is>
          <t>LAHOLM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46317-2021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46263</v>
      </c>
      <c r="F202" t="inlineStr">
        <is>
          <t>HALLANDS LÄN</t>
        </is>
      </c>
      <c r="G202" t="inlineStr">
        <is>
          <t>LAHOLM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44483</v>
      </c>
      <c r="E203" s="1" t="n">
        <v>46263</v>
      </c>
      <c r="F203" t="inlineStr">
        <is>
          <t>HALLANDS LÄN</t>
        </is>
      </c>
      <c r="G203" t="inlineStr">
        <is>
          <t>LAHOLM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46263</v>
      </c>
      <c r="F204" t="inlineStr">
        <is>
          <t>HALLANDS LÄN</t>
        </is>
      </c>
      <c r="G204" t="inlineStr">
        <is>
          <t>LAHOLM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73894-2021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44553</v>
      </c>
      <c r="E205" s="1" t="n">
        <v>46263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46263</v>
      </c>
      <c r="F206" t="inlineStr">
        <is>
          <t>HALLANDS LÄN</t>
        </is>
      </c>
      <c r="G206" t="inlineStr">
        <is>
          <t>LAHOLM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46263</v>
      </c>
      <c r="F207" t="inlineStr">
        <is>
          <t>HALLANDS LÄN</t>
        </is>
      </c>
      <c r="G207" t="inlineStr">
        <is>
          <t>LAHOLM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46263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46263</v>
      </c>
      <c r="F209" t="inlineStr">
        <is>
          <t>HALLANDS LÄN</t>
        </is>
      </c>
      <c r="G209" t="inlineStr">
        <is>
          <t>LAHOLM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46263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46263</v>
      </c>
      <c r="F211" t="inlineStr">
        <is>
          <t>HALLANDS LÄN</t>
        </is>
      </c>
      <c r="G211" t="inlineStr">
        <is>
          <t>LAHOLM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46263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46263</v>
      </c>
      <c r="F213" t="inlineStr">
        <is>
          <t>HALLANDS LÄN</t>
        </is>
      </c>
      <c r="G213" t="inlineStr">
        <is>
          <t>LAHOLM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46263</v>
      </c>
      <c r="F214" t="inlineStr">
        <is>
          <t>HALLANDS LÄN</t>
        </is>
      </c>
      <c r="G214" t="inlineStr">
        <is>
          <t>LAHOLM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46263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46263</v>
      </c>
      <c r="F216" t="inlineStr">
        <is>
          <t>HALLANDS LÄN</t>
        </is>
      </c>
      <c r="G216" t="inlineStr">
        <is>
          <t>LAHOLM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46263</v>
      </c>
      <c r="F217" t="inlineStr">
        <is>
          <t>HALLANDS LÄN</t>
        </is>
      </c>
      <c r="G217" t="inlineStr">
        <is>
          <t>LAHOLM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46263</v>
      </c>
      <c r="F218" t="inlineStr">
        <is>
          <t>HALLANDS LÄN</t>
        </is>
      </c>
      <c r="G218" t="inlineStr">
        <is>
          <t>LAHOLM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44977</v>
      </c>
      <c r="E219" s="1" t="n">
        <v>46263</v>
      </c>
      <c r="F219" t="inlineStr">
        <is>
          <t>HALLANDS LÄN</t>
        </is>
      </c>
      <c r="G219" t="inlineStr">
        <is>
          <t>LAHOLM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46263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46263</v>
      </c>
      <c r="F221" t="inlineStr">
        <is>
          <t>HALLANDS LÄN</t>
        </is>
      </c>
      <c r="G221" t="inlineStr">
        <is>
          <t>LAHOLM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45184</v>
      </c>
      <c r="E222" s="1" t="n">
        <v>46263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46263</v>
      </c>
      <c r="F223" t="inlineStr">
        <is>
          <t>HALLANDS LÄN</t>
        </is>
      </c>
      <c r="G223" t="inlineStr">
        <is>
          <t>LAHOLM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45002</v>
      </c>
      <c r="E224" s="1" t="n">
        <v>46263</v>
      </c>
      <c r="F224" t="inlineStr">
        <is>
          <t>HALLANDS LÄN</t>
        </is>
      </c>
      <c r="G224" t="inlineStr">
        <is>
          <t>LAHOLM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46263</v>
      </c>
      <c r="F225" t="inlineStr">
        <is>
          <t>HALLANDS LÄN</t>
        </is>
      </c>
      <c r="G225" t="inlineStr">
        <is>
          <t>LAHOLM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46263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46263</v>
      </c>
      <c r="F227" t="inlineStr">
        <is>
          <t>HALLANDS LÄN</t>
        </is>
      </c>
      <c r="G227" t="inlineStr">
        <is>
          <t>LAHOLM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44677</v>
      </c>
      <c r="E228" s="1" t="n">
        <v>46263</v>
      </c>
      <c r="F228" t="inlineStr">
        <is>
          <t>HALLANDS LÄN</t>
        </is>
      </c>
      <c r="G228" t="inlineStr">
        <is>
          <t>LAHOLM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45076</v>
      </c>
      <c r="E229" s="1" t="n">
        <v>46263</v>
      </c>
      <c r="F229" t="inlineStr">
        <is>
          <t>HALLANDS LÄN</t>
        </is>
      </c>
      <c r="G229" t="inlineStr">
        <is>
          <t>LAHOLM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45693</v>
      </c>
      <c r="E230" s="1" t="n">
        <v>46263</v>
      </c>
      <c r="F230" t="inlineStr">
        <is>
          <t>HALLANDS LÄN</t>
        </is>
      </c>
      <c r="G230" t="inlineStr">
        <is>
          <t>LAHOLM</t>
        </is>
      </c>
      <c r="H230" t="inlineStr">
        <is>
          <t>Naturvårdsverket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46263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46263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46263</v>
      </c>
      <c r="F233" t="inlineStr">
        <is>
          <t>HALLANDS LÄN</t>
        </is>
      </c>
      <c r="G233" t="inlineStr">
        <is>
          <t>LAHOLM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46263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46263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46263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46263</v>
      </c>
      <c r="F237" t="inlineStr">
        <is>
          <t>HALLANDS LÄN</t>
        </is>
      </c>
      <c r="G237" t="inlineStr">
        <is>
          <t>LAHOLM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46263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45188</v>
      </c>
      <c r="E239" s="1" t="n">
        <v>46263</v>
      </c>
      <c r="F239" t="inlineStr">
        <is>
          <t>HALLANDS LÄN</t>
        </is>
      </c>
      <c r="G239" t="inlineStr">
        <is>
          <t>LAHOLM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46263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46263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46263</v>
      </c>
      <c r="F242" t="inlineStr">
        <is>
          <t>HALLANDS LÄN</t>
        </is>
      </c>
      <c r="G242" t="inlineStr">
        <is>
          <t>LAHOLM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44603</v>
      </c>
      <c r="E243" s="1" t="n">
        <v>46263</v>
      </c>
      <c r="F243" t="inlineStr">
        <is>
          <t>HALLANDS LÄN</t>
        </is>
      </c>
      <c r="G243" t="inlineStr">
        <is>
          <t>LAHOLM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46263</v>
      </c>
      <c r="F244" t="inlineStr">
        <is>
          <t>HALLANDS LÄN</t>
        </is>
      </c>
      <c r="G244" t="inlineStr">
        <is>
          <t>LAHOLM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46263</v>
      </c>
      <c r="F245" t="inlineStr">
        <is>
          <t>HALLANDS LÄN</t>
        </is>
      </c>
      <c r="G245" t="inlineStr">
        <is>
          <t>LAHOLM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46263</v>
      </c>
      <c r="F246" t="inlineStr">
        <is>
          <t>HALLANDS LÄN</t>
        </is>
      </c>
      <c r="G246" t="inlineStr">
        <is>
          <t>LAHOLM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3022-2026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46038</v>
      </c>
      <c r="E247" s="1" t="n">
        <v>46263</v>
      </c>
      <c r="F247" t="inlineStr">
        <is>
          <t>HALLANDS LÄN</t>
        </is>
      </c>
      <c r="G247" t="inlineStr">
        <is>
          <t>LAHOLM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46263</v>
      </c>
      <c r="F248" t="inlineStr">
        <is>
          <t>HALLANDS LÄN</t>
        </is>
      </c>
      <c r="G248" t="inlineStr">
        <is>
          <t>LAHOLM</t>
        </is>
      </c>
      <c r="H248" t="inlineStr">
        <is>
          <t>Kommuner</t>
        </is>
      </c>
      <c r="I248" t="n">
        <v>12.2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46263</v>
      </c>
      <c r="F249" t="inlineStr">
        <is>
          <t>HALLANDS LÄN</t>
        </is>
      </c>
      <c r="G249" t="inlineStr">
        <is>
          <t>LAHOLM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46263</v>
      </c>
      <c r="F250" t="inlineStr">
        <is>
          <t>HALLANDS LÄN</t>
        </is>
      </c>
      <c r="G250" t="inlineStr">
        <is>
          <t>LAHOLM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46263</v>
      </c>
      <c r="F251" t="inlineStr">
        <is>
          <t>HALLANDS LÄN</t>
        </is>
      </c>
      <c r="G251" t="inlineStr">
        <is>
          <t>LAHOLM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46263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46263</v>
      </c>
      <c r="F253" t="inlineStr">
        <is>
          <t>HALLANDS LÄN</t>
        </is>
      </c>
      <c r="G253" t="inlineStr">
        <is>
          <t>LAHOLM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46263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46263</v>
      </c>
      <c r="F255" t="inlineStr">
        <is>
          <t>HALLANDS LÄN</t>
        </is>
      </c>
      <c r="G255" t="inlineStr">
        <is>
          <t>LAHOLM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45342</v>
      </c>
      <c r="E256" s="1" t="n">
        <v>46263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46263</v>
      </c>
      <c r="F257" t="inlineStr">
        <is>
          <t>HALLANDS LÄN</t>
        </is>
      </c>
      <c r="G257" t="inlineStr">
        <is>
          <t>LAHOLM</t>
        </is>
      </c>
      <c r="H257" t="inlineStr">
        <is>
          <t>Kyrkan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46263</v>
      </c>
      <c r="F258" t="inlineStr">
        <is>
          <t>HALLANDS LÄN</t>
        </is>
      </c>
      <c r="G258" t="inlineStr">
        <is>
          <t>LAHOLM</t>
        </is>
      </c>
      <c r="H258" t="inlineStr">
        <is>
          <t>Kyrkan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46263</v>
      </c>
      <c r="F259" t="inlineStr">
        <is>
          <t>HALLANDS LÄN</t>
        </is>
      </c>
      <c r="G259" t="inlineStr">
        <is>
          <t>LAHOLM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46263</v>
      </c>
      <c r="F260" t="inlineStr">
        <is>
          <t>HALLANDS LÄN</t>
        </is>
      </c>
      <c r="G260" t="inlineStr">
        <is>
          <t>LAHOLM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46263</v>
      </c>
      <c r="F261" t="inlineStr">
        <is>
          <t>HALLANDS LÄN</t>
        </is>
      </c>
      <c r="G261" t="inlineStr">
        <is>
          <t>LAHOLM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46263</v>
      </c>
      <c r="F262" t="inlineStr">
        <is>
          <t>HALLANDS LÄN</t>
        </is>
      </c>
      <c r="G262" t="inlineStr">
        <is>
          <t>LAHOLM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45139</v>
      </c>
      <c r="E263" s="1" t="n">
        <v>46263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52168-2021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44463</v>
      </c>
      <c r="E264" s="1" t="n">
        <v>46263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46263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46263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46263</v>
      </c>
      <c r="F267" t="inlineStr">
        <is>
          <t>HALLANDS LÄN</t>
        </is>
      </c>
      <c r="G267" t="inlineStr">
        <is>
          <t>LAHOLM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46263</v>
      </c>
      <c r="F268" t="inlineStr">
        <is>
          <t>HALLANDS LÄN</t>
        </is>
      </c>
      <c r="G268" t="inlineStr">
        <is>
          <t>LAHOLM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46263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46263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67861-2021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44525</v>
      </c>
      <c r="E271" s="1" t="n">
        <v>46263</v>
      </c>
      <c r="F271" t="inlineStr">
        <is>
          <t>HALLANDS LÄN</t>
        </is>
      </c>
      <c r="G271" t="inlineStr">
        <is>
          <t>LAHOLM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46263</v>
      </c>
      <c r="F272" t="inlineStr">
        <is>
          <t>HALLANDS LÄN</t>
        </is>
      </c>
      <c r="G272" t="inlineStr">
        <is>
          <t>LAHOLM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46263</v>
      </c>
      <c r="F273" t="inlineStr">
        <is>
          <t>HALLANDS LÄN</t>
        </is>
      </c>
      <c r="G273" t="inlineStr">
        <is>
          <t>LAHOLM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46263</v>
      </c>
      <c r="F274" t="inlineStr">
        <is>
          <t>HALLANDS LÄN</t>
        </is>
      </c>
      <c r="G274" t="inlineStr">
        <is>
          <t>LAHOLM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46263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45699</v>
      </c>
      <c r="E276" s="1" t="n">
        <v>46263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46263</v>
      </c>
      <c r="F277" t="inlineStr">
        <is>
          <t>HALLANDS LÄN</t>
        </is>
      </c>
      <c r="G277" t="inlineStr">
        <is>
          <t>LAHOLM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46263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45098</v>
      </c>
      <c r="E279" s="1" t="n">
        <v>46263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46263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45076</v>
      </c>
      <c r="E281" s="1" t="n">
        <v>46263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46263</v>
      </c>
      <c r="F282" t="inlineStr">
        <is>
          <t>HALLANDS LÄN</t>
        </is>
      </c>
      <c r="G282" t="inlineStr">
        <is>
          <t>LAHOLM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46263</v>
      </c>
      <c r="F283" t="inlineStr">
        <is>
          <t>HALLANDS LÄN</t>
        </is>
      </c>
      <c r="G283" t="inlineStr">
        <is>
          <t>LAHOLM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46263</v>
      </c>
      <c r="F284" t="inlineStr">
        <is>
          <t>HALLANDS LÄN</t>
        </is>
      </c>
      <c r="G284" t="inlineStr">
        <is>
          <t>LAHOLM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46263</v>
      </c>
      <c r="F285" t="inlineStr">
        <is>
          <t>HALLANDS LÄN</t>
        </is>
      </c>
      <c r="G285" t="inlineStr">
        <is>
          <t>LAHOLM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46263</v>
      </c>
      <c r="F286" t="inlineStr">
        <is>
          <t>HALLANDS LÄN</t>
        </is>
      </c>
      <c r="G286" t="inlineStr">
        <is>
          <t>LAHOLM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46263</v>
      </c>
      <c r="F287" t="inlineStr">
        <is>
          <t>HALLANDS LÄN</t>
        </is>
      </c>
      <c r="G287" t="inlineStr">
        <is>
          <t>LAHOLM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46263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46263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46263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60341-2024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46263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46263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46263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46263</v>
      </c>
      <c r="F294" t="inlineStr">
        <is>
          <t>HALLANDS LÄN</t>
        </is>
      </c>
      <c r="G294" t="inlineStr">
        <is>
          <t>LAHOLM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46263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46263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46263</v>
      </c>
      <c r="F297" t="inlineStr">
        <is>
          <t>HALLANDS LÄN</t>
        </is>
      </c>
      <c r="G297" t="inlineStr">
        <is>
          <t>LAHOLM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46263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13998-2026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46098</v>
      </c>
      <c r="E299" s="1" t="n">
        <v>46263</v>
      </c>
      <c r="F299" t="inlineStr">
        <is>
          <t>HALLANDS LÄN</t>
        </is>
      </c>
      <c r="G299" t="inlineStr">
        <is>
          <t>LAHOLM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35891-2022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46263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46263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46263</v>
      </c>
      <c r="F302" t="inlineStr">
        <is>
          <t>HALLANDS LÄN</t>
        </is>
      </c>
      <c r="G302" t="inlineStr">
        <is>
          <t>LAHOLM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46263</v>
      </c>
      <c r="F303" t="inlineStr">
        <is>
          <t>HALLANDS LÄN</t>
        </is>
      </c>
      <c r="G303" t="inlineStr">
        <is>
          <t>LAHOLM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46263</v>
      </c>
      <c r="F304" t="inlineStr">
        <is>
          <t>HALLANDS LÄN</t>
        </is>
      </c>
      <c r="G304" t="inlineStr">
        <is>
          <t>LAHOLM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46263</v>
      </c>
      <c r="F305" t="inlineStr">
        <is>
          <t>HALLANDS LÄN</t>
        </is>
      </c>
      <c r="G305" t="inlineStr">
        <is>
          <t>LAHOLM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46263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46263</v>
      </c>
      <c r="F307" t="inlineStr">
        <is>
          <t>HALLANDS LÄN</t>
        </is>
      </c>
      <c r="G307" t="inlineStr">
        <is>
          <t>LAHOLM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69589-2021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44532</v>
      </c>
      <c r="E308" s="1" t="n">
        <v>46263</v>
      </c>
      <c r="F308" t="inlineStr">
        <is>
          <t>HALLANDS LÄN</t>
        </is>
      </c>
      <c r="G308" t="inlineStr">
        <is>
          <t>LAHOLM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46263</v>
      </c>
      <c r="F309" t="inlineStr">
        <is>
          <t>HALLANDS LÄN</t>
        </is>
      </c>
      <c r="G309" t="inlineStr">
        <is>
          <t>LAHOLM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46263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45426</v>
      </c>
      <c r="E311" s="1" t="n">
        <v>46263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46263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46263</v>
      </c>
      <c r="F313" t="inlineStr">
        <is>
          <t>HALLANDS LÄN</t>
        </is>
      </c>
      <c r="G313" t="inlineStr">
        <is>
          <t>LAHOLM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46263</v>
      </c>
      <c r="F314" t="inlineStr">
        <is>
          <t>HALLANDS LÄN</t>
        </is>
      </c>
      <c r="G314" t="inlineStr">
        <is>
          <t>LAHOLM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46263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46263</v>
      </c>
      <c r="F316" t="inlineStr">
        <is>
          <t>HALLANDS LÄN</t>
        </is>
      </c>
      <c r="G316" t="inlineStr">
        <is>
          <t>LAHOLM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46263</v>
      </c>
      <c r="F317" t="inlineStr">
        <is>
          <t>HALLANDS LÄN</t>
        </is>
      </c>
      <c r="G317" t="inlineStr">
        <is>
          <t>LAHOLM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46263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46263</v>
      </c>
      <c r="F319" t="inlineStr">
        <is>
          <t>HALLANDS LÄN</t>
        </is>
      </c>
      <c r="G319" t="inlineStr">
        <is>
          <t>LAHOLM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45179</v>
      </c>
      <c r="E320" s="1" t="n">
        <v>46263</v>
      </c>
      <c r="F320" t="inlineStr">
        <is>
          <t>HALLANDS LÄN</t>
        </is>
      </c>
      <c r="G320" t="inlineStr">
        <is>
          <t>LAHOLM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46263</v>
      </c>
      <c r="F321" t="inlineStr">
        <is>
          <t>HALLANDS LÄN</t>
        </is>
      </c>
      <c r="G321" t="inlineStr">
        <is>
          <t>LAHOLM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46263</v>
      </c>
      <c r="F322" t="inlineStr">
        <is>
          <t>HALLANDS LÄN</t>
        </is>
      </c>
      <c r="G322" t="inlineStr">
        <is>
          <t>LAHOLM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46263</v>
      </c>
      <c r="F323" t="inlineStr">
        <is>
          <t>HALLANDS LÄN</t>
        </is>
      </c>
      <c r="G323" t="inlineStr">
        <is>
          <t>LAHOLM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46263</v>
      </c>
      <c r="F324" t="inlineStr">
        <is>
          <t>HALLANDS LÄN</t>
        </is>
      </c>
      <c r="G324" t="inlineStr">
        <is>
          <t>LAHOLM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46263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44753</v>
      </c>
      <c r="E326" s="1" t="n">
        <v>46263</v>
      </c>
      <c r="F326" t="inlineStr">
        <is>
          <t>HALLANDS LÄN</t>
        </is>
      </c>
      <c r="G326" t="inlineStr">
        <is>
          <t>LAHOLM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46263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46263</v>
      </c>
      <c r="F328" t="inlineStr">
        <is>
          <t>HALLANDS LÄN</t>
        </is>
      </c>
      <c r="G328" t="inlineStr">
        <is>
          <t>LAHOLM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46263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46263</v>
      </c>
      <c r="F330" t="inlineStr">
        <is>
          <t>HALLANDS LÄN</t>
        </is>
      </c>
      <c r="G330" t="inlineStr">
        <is>
          <t>LAHOLM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46263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46263</v>
      </c>
      <c r="F332" t="inlineStr">
        <is>
          <t>HALLANDS LÄN</t>
        </is>
      </c>
      <c r="G332" t="inlineStr">
        <is>
          <t>LAHOLM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46263</v>
      </c>
      <c r="F333" t="inlineStr">
        <is>
          <t>HALLANDS LÄN</t>
        </is>
      </c>
      <c r="G333" t="inlineStr">
        <is>
          <t>LAHOLM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46263</v>
      </c>
      <c r="F334" t="inlineStr">
        <is>
          <t>HALLANDS LÄN</t>
        </is>
      </c>
      <c r="G334" t="inlineStr">
        <is>
          <t>LAHOLM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46263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46263</v>
      </c>
      <c r="F336" t="inlineStr">
        <is>
          <t>HALLANDS LÄN</t>
        </is>
      </c>
      <c r="G336" t="inlineStr">
        <is>
          <t>LAHOLM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58558-2022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46263</v>
      </c>
      <c r="F337" t="inlineStr">
        <is>
          <t>HALLANDS LÄN</t>
        </is>
      </c>
      <c r="G337" t="inlineStr">
        <is>
          <t>LAHOLM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46263</v>
      </c>
      <c r="F338" t="inlineStr">
        <is>
          <t>HALLANDS LÄN</t>
        </is>
      </c>
      <c r="G338" t="inlineStr">
        <is>
          <t>LAHOLM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53778-2023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46263</v>
      </c>
      <c r="F339" t="inlineStr">
        <is>
          <t>HALLANDS LÄN</t>
        </is>
      </c>
      <c r="G339" t="inlineStr">
        <is>
          <t>LAHOLM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45027</v>
      </c>
      <c r="E340" s="1" t="n">
        <v>46263</v>
      </c>
      <c r="F340" t="inlineStr">
        <is>
          <t>HALLANDS LÄN</t>
        </is>
      </c>
      <c r="G340" t="inlineStr">
        <is>
          <t>LAHOLM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45035</v>
      </c>
      <c r="E341" s="1" t="n">
        <v>46263</v>
      </c>
      <c r="F341" t="inlineStr">
        <is>
          <t>HALLANDS LÄN</t>
        </is>
      </c>
      <c r="G341" t="inlineStr">
        <is>
          <t>LAHOLM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46263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46263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46263</v>
      </c>
      <c r="F344" t="inlineStr">
        <is>
          <t>HALLANDS LÄN</t>
        </is>
      </c>
      <c r="G344" t="inlineStr">
        <is>
          <t>LAHOLM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46263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statliga verk och myndigheter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46263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45131</v>
      </c>
      <c r="E347" s="1" t="n">
        <v>46263</v>
      </c>
      <c r="F347" t="inlineStr">
        <is>
          <t>HALLANDS LÄN</t>
        </is>
      </c>
      <c r="G347" t="inlineStr">
        <is>
          <t>LAHOLM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46263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44764</v>
      </c>
      <c r="E349" s="1" t="n">
        <v>46263</v>
      </c>
      <c r="F349" t="inlineStr">
        <is>
          <t>HALLANDS LÄN</t>
        </is>
      </c>
      <c r="G349" t="inlineStr">
        <is>
          <t>LAHOLM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46263</v>
      </c>
      <c r="F350" t="inlineStr">
        <is>
          <t>HALLANDS LÄN</t>
        </is>
      </c>
      <c r="G350" t="inlineStr">
        <is>
          <t>LAHOLM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45680</v>
      </c>
      <c r="E351" s="1" t="n">
        <v>46263</v>
      </c>
      <c r="F351" t="inlineStr">
        <is>
          <t>HALLANDS LÄN</t>
        </is>
      </c>
      <c r="G351" t="inlineStr">
        <is>
          <t>LAHOLM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44873</v>
      </c>
      <c r="E352" s="1" t="n">
        <v>46263</v>
      </c>
      <c r="F352" t="inlineStr">
        <is>
          <t>HALLANDS LÄN</t>
        </is>
      </c>
      <c r="G352" t="inlineStr">
        <is>
          <t>LAHOLM</t>
        </is>
      </c>
      <c r="H352" t="inlineStr">
        <is>
          <t>Sveaskog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46263</v>
      </c>
      <c r="F353" t="inlineStr">
        <is>
          <t>HALLANDS LÄN</t>
        </is>
      </c>
      <c r="G353" t="inlineStr">
        <is>
          <t>LAHOLM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45135</v>
      </c>
      <c r="E354" s="1" t="n">
        <v>46263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44901</v>
      </c>
      <c r="E355" s="1" t="n">
        <v>46263</v>
      </c>
      <c r="F355" t="inlineStr">
        <is>
          <t>HALLANDS LÄN</t>
        </is>
      </c>
      <c r="G355" t="inlineStr">
        <is>
          <t>LAHOLM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19969-2023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45054</v>
      </c>
      <c r="E356" s="1" t="n">
        <v>46263</v>
      </c>
      <c r="F356" t="inlineStr">
        <is>
          <t>HALLANDS LÄN</t>
        </is>
      </c>
      <c r="G356" t="inlineStr">
        <is>
          <t>LAHOLM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44882</v>
      </c>
      <c r="E357" s="1" t="n">
        <v>46263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45377</v>
      </c>
      <c r="E358" s="1" t="n">
        <v>46263</v>
      </c>
      <c r="F358" t="inlineStr">
        <is>
          <t>HALLANDS LÄN</t>
        </is>
      </c>
      <c r="G358" t="inlineStr">
        <is>
          <t>LAHOLM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46263</v>
      </c>
      <c r="F359" t="inlineStr">
        <is>
          <t>HALLANDS LÄN</t>
        </is>
      </c>
      <c r="G359" t="inlineStr">
        <is>
          <t>LAHOLM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46263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39465-2023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45166</v>
      </c>
      <c r="E361" s="1" t="n">
        <v>46263</v>
      </c>
      <c r="F361" t="inlineStr">
        <is>
          <t>HALLANDS LÄN</t>
        </is>
      </c>
      <c r="G361" t="inlineStr">
        <is>
          <t>LAHOLM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45327</v>
      </c>
      <c r="E362" s="1" t="n">
        <v>46263</v>
      </c>
      <c r="F362" t="inlineStr">
        <is>
          <t>HALLANDS LÄN</t>
        </is>
      </c>
      <c r="G362" t="inlineStr">
        <is>
          <t>LAHOLM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46263</v>
      </c>
      <c r="F363" t="inlineStr">
        <is>
          <t>HALLANDS LÄN</t>
        </is>
      </c>
      <c r="G363" t="inlineStr">
        <is>
          <t>LAHOLM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45385</v>
      </c>
      <c r="E364" s="1" t="n">
        <v>46263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52094-2021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44462</v>
      </c>
      <c r="E365" s="1" t="n">
        <v>46263</v>
      </c>
      <c r="F365" t="inlineStr">
        <is>
          <t>HALLANDS LÄN</t>
        </is>
      </c>
      <c r="G365" t="inlineStr">
        <is>
          <t>LAHOLM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46263</v>
      </c>
      <c r="F366" t="inlineStr">
        <is>
          <t>HALLANDS LÄN</t>
        </is>
      </c>
      <c r="G366" t="inlineStr">
        <is>
          <t>LAHOLM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44774</v>
      </c>
      <c r="E367" s="1" t="n">
        <v>46263</v>
      </c>
      <c r="F367" t="inlineStr">
        <is>
          <t>HALLANDS LÄN</t>
        </is>
      </c>
      <c r="G367" t="inlineStr">
        <is>
          <t>LAHOLM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46263</v>
      </c>
      <c r="F368" t="inlineStr">
        <is>
          <t>HALLANDS LÄN</t>
        </is>
      </c>
      <c r="G368" t="inlineStr">
        <is>
          <t>LAHOLM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46263</v>
      </c>
      <c r="F369" t="inlineStr">
        <is>
          <t>HALLANDS LÄN</t>
        </is>
      </c>
      <c r="G369" t="inlineStr">
        <is>
          <t>LAHOLM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61711-2021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44501</v>
      </c>
      <c r="E370" s="1" t="n">
        <v>46263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46263</v>
      </c>
      <c r="F371" t="inlineStr">
        <is>
          <t>HALLANDS LÄN</t>
        </is>
      </c>
      <c r="G371" t="inlineStr">
        <is>
          <t>LAHOLM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24390-2022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44726</v>
      </c>
      <c r="E372" s="1" t="n">
        <v>46263</v>
      </c>
      <c r="F372" t="inlineStr">
        <is>
          <t>HALLANDS LÄN</t>
        </is>
      </c>
      <c r="G372" t="inlineStr">
        <is>
          <t>LAHOLM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44726</v>
      </c>
      <c r="E373" s="1" t="n">
        <v>46263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46263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46263</v>
      </c>
      <c r="F375" t="inlineStr">
        <is>
          <t>HALLANDS LÄN</t>
        </is>
      </c>
      <c r="G375" t="inlineStr">
        <is>
          <t>LAHOLM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46263</v>
      </c>
      <c r="F376" t="inlineStr">
        <is>
          <t>HALLANDS LÄN</t>
        </is>
      </c>
      <c r="G376" t="inlineStr">
        <is>
          <t>LAHOLM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45658</v>
      </c>
      <c r="E377" s="1" t="n">
        <v>46263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46263</v>
      </c>
      <c r="F378" t="inlineStr">
        <is>
          <t>HALLANDS LÄN</t>
        </is>
      </c>
      <c r="G378" t="inlineStr">
        <is>
          <t>LAHOLM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46263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46263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46263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46263</v>
      </c>
      <c r="F382" t="inlineStr">
        <is>
          <t>HALLANDS LÄN</t>
        </is>
      </c>
      <c r="G382" t="inlineStr">
        <is>
          <t>LAHOLM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46263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46263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46263</v>
      </c>
      <c r="F385" t="inlineStr">
        <is>
          <t>HALLANDS LÄN</t>
        </is>
      </c>
      <c r="G385" t="inlineStr">
        <is>
          <t>LAHOLM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45453</v>
      </c>
      <c r="E386" s="1" t="n">
        <v>46263</v>
      </c>
      <c r="F386" t="inlineStr">
        <is>
          <t>HALLANDS LÄN</t>
        </is>
      </c>
      <c r="G386" t="inlineStr">
        <is>
          <t>LAHOLM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46263</v>
      </c>
      <c r="F387" t="inlineStr">
        <is>
          <t>HALLANDS LÄN</t>
        </is>
      </c>
      <c r="G387" t="inlineStr">
        <is>
          <t>LAHOLM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37672-2022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44810</v>
      </c>
      <c r="E388" s="1" t="n">
        <v>46263</v>
      </c>
      <c r="F388" t="inlineStr">
        <is>
          <t>HALLANDS LÄN</t>
        </is>
      </c>
      <c r="G388" t="inlineStr">
        <is>
          <t>LAHOLM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45057</v>
      </c>
      <c r="E389" s="1" t="n">
        <v>46263</v>
      </c>
      <c r="F389" t="inlineStr">
        <is>
          <t>HALLANDS LÄN</t>
        </is>
      </c>
      <c r="G389" t="inlineStr">
        <is>
          <t>LAHOLM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46263</v>
      </c>
      <c r="F390" t="inlineStr">
        <is>
          <t>HALLANDS LÄN</t>
        </is>
      </c>
      <c r="G390" t="inlineStr">
        <is>
          <t>LAHOLM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6833-2022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44602</v>
      </c>
      <c r="E391" s="1" t="n">
        <v>46263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46263</v>
      </c>
      <c r="F392" t="inlineStr">
        <is>
          <t>HALLANDS LÄN</t>
        </is>
      </c>
      <c r="G392" t="inlineStr">
        <is>
          <t>LAHOLM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46263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46263</v>
      </c>
      <c r="F394" t="inlineStr">
        <is>
          <t>HALLANDS LÄN</t>
        </is>
      </c>
      <c r="G394" t="inlineStr">
        <is>
          <t>LAHOLM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46263</v>
      </c>
      <c r="F395" t="inlineStr">
        <is>
          <t>HALLANDS LÄN</t>
        </is>
      </c>
      <c r="G395" t="inlineStr">
        <is>
          <t>LAHOLM</t>
        </is>
      </c>
      <c r="H395" t="inlineStr">
        <is>
          <t>Kommuner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44883</v>
      </c>
      <c r="E396" s="1" t="n">
        <v>46263</v>
      </c>
      <c r="F396" t="inlineStr">
        <is>
          <t>HALLANDS LÄN</t>
        </is>
      </c>
      <c r="G396" t="inlineStr">
        <is>
          <t>LAHOLM</t>
        </is>
      </c>
      <c r="H396" t="inlineStr">
        <is>
          <t>Kommuner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46263</v>
      </c>
      <c r="F397" t="inlineStr">
        <is>
          <t>HALLANDS LÄN</t>
        </is>
      </c>
      <c r="G397" t="inlineStr">
        <is>
          <t>LAHOLM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44909</v>
      </c>
      <c r="E398" s="1" t="n">
        <v>46263</v>
      </c>
      <c r="F398" t="inlineStr">
        <is>
          <t>HALLANDS LÄN</t>
        </is>
      </c>
      <c r="G398" t="inlineStr">
        <is>
          <t>LAHOLM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45299</v>
      </c>
      <c r="E399" s="1" t="n">
        <v>46263</v>
      </c>
      <c r="F399" t="inlineStr">
        <is>
          <t>HALLANDS LÄN</t>
        </is>
      </c>
      <c r="G399" t="inlineStr">
        <is>
          <t>LAHOLM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45219</v>
      </c>
      <c r="E400" s="1" t="n">
        <v>46263</v>
      </c>
      <c r="F400" t="inlineStr">
        <is>
          <t>HALLANDS LÄN</t>
        </is>
      </c>
      <c r="G400" t="inlineStr">
        <is>
          <t>LAHOLM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46263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45664</v>
      </c>
      <c r="E402" s="1" t="n">
        <v>46263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27732-2023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46263</v>
      </c>
      <c r="F403" t="inlineStr">
        <is>
          <t>HALLANDS LÄN</t>
        </is>
      </c>
      <c r="G403" t="inlineStr">
        <is>
          <t>LAHOLM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46263</v>
      </c>
      <c r="F404" t="inlineStr">
        <is>
          <t>HALLANDS LÄN</t>
        </is>
      </c>
      <c r="G404" t="inlineStr">
        <is>
          <t>LAHOLM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45239</v>
      </c>
      <c r="E405" s="1" t="n">
        <v>46263</v>
      </c>
      <c r="F405" t="inlineStr">
        <is>
          <t>HALLANDS LÄN</t>
        </is>
      </c>
      <c r="G405" t="inlineStr">
        <is>
          <t>LAHOLM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46263</v>
      </c>
      <c r="F406" t="inlineStr">
        <is>
          <t>HALLANDS LÄN</t>
        </is>
      </c>
      <c r="G406" t="inlineStr">
        <is>
          <t>LAHOLM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45040</v>
      </c>
      <c r="E407" s="1" t="n">
        <v>46263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54464-2024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46263</v>
      </c>
      <c r="F408" t="inlineStr">
        <is>
          <t>HALLANDS LÄN</t>
        </is>
      </c>
      <c r="G408" t="inlineStr">
        <is>
          <t>LAHOLM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46151</v>
      </c>
      <c r="E409" s="1" t="n">
        <v>46263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45130</v>
      </c>
      <c r="E410" s="1" t="n">
        <v>46263</v>
      </c>
      <c r="F410" t="inlineStr">
        <is>
          <t>HALLANDS LÄN</t>
        </is>
      </c>
      <c r="G410" t="inlineStr">
        <is>
          <t>LAHOLM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44929</v>
      </c>
      <c r="E411" s="1" t="n">
        <v>46263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46263</v>
      </c>
      <c r="F412" t="inlineStr">
        <is>
          <t>HALLANDS LÄN</t>
        </is>
      </c>
      <c r="G412" t="inlineStr">
        <is>
          <t>LAHOLM</t>
        </is>
      </c>
      <c r="H412" t="inlineStr">
        <is>
          <t>Övriga Aktiebolag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46263</v>
      </c>
      <c r="F413" t="inlineStr">
        <is>
          <t>HALLANDS LÄN</t>
        </is>
      </c>
      <c r="G413" t="inlineStr">
        <is>
          <t>LAHOLM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45264</v>
      </c>
      <c r="E414" s="1" t="n">
        <v>46263</v>
      </c>
      <c r="F414" t="inlineStr">
        <is>
          <t>HALLANDS LÄN</t>
        </is>
      </c>
      <c r="G414" t="inlineStr">
        <is>
          <t>LAHOLM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46263</v>
      </c>
      <c r="F415" t="inlineStr">
        <is>
          <t>HALLANDS LÄN</t>
        </is>
      </c>
      <c r="G415" t="inlineStr">
        <is>
          <t>LAHOLM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45206</v>
      </c>
      <c r="E416" s="1" t="n">
        <v>46263</v>
      </c>
      <c r="F416" t="inlineStr">
        <is>
          <t>HALLANDS LÄN</t>
        </is>
      </c>
      <c r="G416" t="inlineStr">
        <is>
          <t>LAHOLM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46263</v>
      </c>
      <c r="F417" t="inlineStr">
        <is>
          <t>HALLANDS LÄN</t>
        </is>
      </c>
      <c r="G417" t="inlineStr">
        <is>
          <t>LAHOLM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46263</v>
      </c>
      <c r="F418" t="inlineStr">
        <is>
          <t>HALLANDS LÄN</t>
        </is>
      </c>
      <c r="G418" t="inlineStr">
        <is>
          <t>LAHOLM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46263</v>
      </c>
      <c r="F419" t="inlineStr">
        <is>
          <t>HALLANDS LÄN</t>
        </is>
      </c>
      <c r="G419" t="inlineStr">
        <is>
          <t>LAHOLM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45849</v>
      </c>
      <c r="E420" s="1" t="n">
        <v>46263</v>
      </c>
      <c r="F420" t="inlineStr">
        <is>
          <t>HALLANDS LÄN</t>
        </is>
      </c>
      <c r="G420" t="inlineStr">
        <is>
          <t>LAHOLM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46263</v>
      </c>
      <c r="F421" t="inlineStr">
        <is>
          <t>HALLANDS LÄN</t>
        </is>
      </c>
      <c r="G421" t="inlineStr">
        <is>
          <t>LAHOLM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46263</v>
      </c>
      <c r="F422" t="inlineStr">
        <is>
          <t>HALLANDS LÄN</t>
        </is>
      </c>
      <c r="G422" t="inlineStr">
        <is>
          <t>LAHOLM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46263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46263</v>
      </c>
      <c r="F424" t="inlineStr">
        <is>
          <t>HALLANDS LÄN</t>
        </is>
      </c>
      <c r="G424" t="inlineStr">
        <is>
          <t>LAHOLM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46263</v>
      </c>
      <c r="F425" t="inlineStr">
        <is>
          <t>HALLANDS LÄN</t>
        </is>
      </c>
      <c r="G425" t="inlineStr">
        <is>
          <t>LAHOLM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46263</v>
      </c>
      <c r="F426" t="inlineStr">
        <is>
          <t>HALLANDS LÄN</t>
        </is>
      </c>
      <c r="G426" t="inlineStr">
        <is>
          <t>LAHOLM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27223-2026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46184</v>
      </c>
      <c r="E427" s="1" t="n">
        <v>46263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46263</v>
      </c>
      <c r="F428" t="inlineStr">
        <is>
          <t>HALLANDS LÄN</t>
        </is>
      </c>
      <c r="G428" t="inlineStr">
        <is>
          <t>LAHOLM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46263</v>
      </c>
      <c r="F429" t="inlineStr">
        <is>
          <t>HALLANDS LÄN</t>
        </is>
      </c>
      <c r="G429" t="inlineStr">
        <is>
          <t>LAHOLM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46237</v>
      </c>
      <c r="E430" s="1" t="n">
        <v>46263</v>
      </c>
      <c r="F430" t="inlineStr">
        <is>
          <t>HALLANDS LÄN</t>
        </is>
      </c>
      <c r="G430" t="inlineStr">
        <is>
          <t>LAHOLM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46263</v>
      </c>
      <c r="F431" t="inlineStr">
        <is>
          <t>HALLANDS LÄN</t>
        </is>
      </c>
      <c r="G431" t="inlineStr">
        <is>
          <t>LAHOLM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46263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46263</v>
      </c>
      <c r="F433" t="inlineStr">
        <is>
          <t>HALLANDS LÄN</t>
        </is>
      </c>
      <c r="G433" t="inlineStr">
        <is>
          <t>LAHOLM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46263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46263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46246</v>
      </c>
      <c r="E436" s="1" t="n">
        <v>46263</v>
      </c>
      <c r="F436" t="inlineStr">
        <is>
          <t>HALLANDS LÄN</t>
        </is>
      </c>
      <c r="G436" t="inlineStr">
        <is>
          <t>LAHOLM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46263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46263</v>
      </c>
      <c r="F438" t="inlineStr">
        <is>
          <t>HALLANDS LÄN</t>
        </is>
      </c>
      <c r="G438" t="inlineStr">
        <is>
          <t>LAHOLM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46246</v>
      </c>
      <c r="E439" s="1" t="n">
        <v>46263</v>
      </c>
      <c r="F439" t="inlineStr">
        <is>
          <t>HALLANDS LÄN</t>
        </is>
      </c>
      <c r="G439" t="inlineStr">
        <is>
          <t>LAHOLM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46263</v>
      </c>
      <c r="F440" t="inlineStr">
        <is>
          <t>HALLANDS LÄN</t>
        </is>
      </c>
      <c r="G440" t="inlineStr">
        <is>
          <t>LAHOLM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46263</v>
      </c>
      <c r="F441" t="inlineStr">
        <is>
          <t>HALLANDS LÄN</t>
        </is>
      </c>
      <c r="G441" t="inlineStr">
        <is>
          <t>LAHOLM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46263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46263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46251</v>
      </c>
      <c r="E444" s="1" t="n">
        <v>46263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46211</v>
      </c>
      <c r="E445" s="1" t="n">
        <v>46263</v>
      </c>
      <c r="F445" t="inlineStr">
        <is>
          <t>HALLANDS LÄN</t>
        </is>
      </c>
      <c r="G445" t="inlineStr">
        <is>
          <t>LAHOLM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46263</v>
      </c>
      <c r="F446" t="inlineStr">
        <is>
          <t>HALLANDS LÄN</t>
        </is>
      </c>
      <c r="G446" t="inlineStr">
        <is>
          <t>LAHOLM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46263</v>
      </c>
      <c r="F447" t="inlineStr">
        <is>
          <t>HALLANDS LÄN</t>
        </is>
      </c>
      <c r="G447" t="inlineStr">
        <is>
          <t>LAHOLM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46263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46263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46171</v>
      </c>
      <c r="E450" s="1" t="n">
        <v>46263</v>
      </c>
      <c r="F450" t="inlineStr">
        <is>
          <t>HALLANDS LÄN</t>
        </is>
      </c>
      <c r="G450" t="inlineStr">
        <is>
          <t>LAHOLM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46263</v>
      </c>
      <c r="F451" t="inlineStr">
        <is>
          <t>HALLANDS LÄN</t>
        </is>
      </c>
      <c r="G451" t="inlineStr">
        <is>
          <t>LAHOLM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46263</v>
      </c>
      <c r="F452" t="inlineStr">
        <is>
          <t>HALLANDS LÄN</t>
        </is>
      </c>
      <c r="G452" t="inlineStr">
        <is>
          <t>LAHOLM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46259</v>
      </c>
      <c r="E453" s="1" t="n">
        <v>46263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46263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46263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46263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46263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46263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46263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46263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46263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46263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46263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46263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46263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46263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46263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46263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46263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2026-08-29T01:55:45Z</dcterms:created>
  <dcterms:modified xmlns:dcterms="http://purl.org/dc/terms/" xmlns:xsi="http://www.w3.org/2001/XMLSchema-instance" xsi:type="dcterms:W3CDTF">2026-08-29T01:55:46Z</dcterms:modified>
</cp:coreProperties>
</file>