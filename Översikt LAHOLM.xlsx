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46297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46297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46297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46297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46297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46297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46297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46297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Platt fjädermossa</t>
        </is>
      </c>
      <c r="W16">
        <f>HYPERLINK("https://klasma.github.io/Logging_1381/artfynd/A 45733-2022 artfynd.xlsx", "A 45733-2022")</f>
        <v/>
      </c>
      <c r="X16">
        <f>HYPERLINK("https://klasma.github.io/Logging_1381/kartor/A 45733-2022 karta.png", "A 45733-2022")</f>
        <v/>
      </c>
      <c r="Y16">
        <f>HYPERLINK("https://klasma.github.io/Logging_1381/kartor_geotiff/A 45733-2022 georefererad karta.tif", "A 45733-2022")</f>
        <v/>
      </c>
      <c r="AA16">
        <f>HYPERLINK("https://klasma.github.io/Logging_1381/klagomål/A 45733-2022 FSC-klagomål.docx", "A 45733-2022")</f>
        <v/>
      </c>
      <c r="AB16">
        <f>HYPERLINK("https://klasma.github.io/Logging_1381/klagomålsmail/A 45733-2022 FSC-klagomål mail.docx", "A 45733-2022")</f>
        <v/>
      </c>
      <c r="AC16">
        <f>HYPERLINK("https://klasma.github.io/Logging_1381/tillsyn/A 45733-2022 tillsynsbegäran.docx", "A 45733-2022")</f>
        <v/>
      </c>
      <c r="AD16">
        <f>HYPERLINK("https://klasma.github.io/Logging_1381/tillsynsmail/A 45733-2022 tillsynsbegäran mail.docx", "A 45733-2022")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46297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46297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46297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46297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46297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46297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46297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46297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46297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46297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46297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46297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46297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46297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46297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46297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33086-2026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46245</v>
      </c>
      <c r="E35" s="1" t="n">
        <v>46297</v>
      </c>
      <c r="F35" t="inlineStr">
        <is>
          <t>HALLANDS LÄN</t>
        </is>
      </c>
      <c r="G35" t="inlineStr">
        <is>
          <t>LAHOLM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 taggsvamp</t>
        </is>
      </c>
      <c r="W35">
        <f>HYPERLINK("https://klasma.github.io/Logging_1381/artfynd/A 33086-2026 artfynd.xlsx", "A 33086-2026")</f>
        <v/>
      </c>
      <c r="X35">
        <f>HYPERLINK("https://klasma.github.io/Logging_1381/kartor/A 33086-2026 karta.png", "A 33086-2026")</f>
        <v/>
      </c>
      <c r="Y35">
        <f>HYPERLINK("https://klasma.github.io/Logging_1381/kartor_geotiff/A 33086-2026 georefererad karta.tif", "A 33086-2026")</f>
        <v/>
      </c>
      <c r="AA35">
        <f>HYPERLINK("https://klasma.github.io/Logging_1381/klagomål/A 33086-2026 FSC-klagomål.docx", "A 33086-2026")</f>
        <v/>
      </c>
      <c r="AB35">
        <f>HYPERLINK("https://klasma.github.io/Logging_1381/klagomålsmail/A 33086-2026 FSC-klagomål mail.docx", "A 33086-2026")</f>
        <v/>
      </c>
      <c r="AC35">
        <f>HYPERLINK("https://klasma.github.io/Logging_1381/tillsyn/A 33086-2026 tillsynsbegäran.docx", "A 33086-2026")</f>
        <v/>
      </c>
      <c r="AD35">
        <f>HYPERLINK("https://klasma.github.io/Logging_1381/tillsynsmail/A 33086-2026 tillsynsbegäran mail.docx", "A 33086-2026")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46297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3691-2024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46297</v>
      </c>
      <c r="F37" t="inlineStr">
        <is>
          <t>HALLANDS LÄN</t>
        </is>
      </c>
      <c r="G37" t="inlineStr">
        <is>
          <t>LAHOLM</t>
        </is>
      </c>
      <c r="I37" t="n">
        <v>6.6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HYPERLINK("https://klasma.github.io/Logging_1381/artfynd/A 3691-2024 artfynd.xlsx", "A 3691-2024")</f>
        <v/>
      </c>
      <c r="X37">
        <f>HYPERLINK("https://klasma.github.io/Logging_1381/kartor/A 3691-2024 karta.png", "A 3691-2024")</f>
        <v/>
      </c>
      <c r="Y37">
        <f>HYPERLINK("https://klasma.github.io/Logging_1381/kartor_geotiff/A 3691-2024 georefererad karta.tif", "A 3691-2024")</f>
        <v/>
      </c>
      <c r="AA37">
        <f>HYPERLINK("https://klasma.github.io/Logging_1381/klagomål/A 3691-2024 FSC-klagomål.docx", "A 3691-2024")</f>
        <v/>
      </c>
      <c r="AB37">
        <f>HYPERLINK("https://klasma.github.io/Logging_1381/klagomålsmail/A 3691-2024 FSC-klagomål mail.docx", "A 3691-2024")</f>
        <v/>
      </c>
      <c r="AC37">
        <f>HYPERLINK("https://klasma.github.io/Logging_1381/tillsyn/A 3691-2024 tillsynsbegäran.docx", "A 3691-2024")</f>
        <v/>
      </c>
      <c r="AD37">
        <f>HYPERLINK("https://klasma.github.io/Logging_1381/tillsynsmail/A 3691-2024 tillsynsbegäran mail.docx", "A 3691-2024")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46297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46297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46297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46297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46297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46297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46297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46297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46297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46297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46297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46297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46297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46297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46297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46297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46297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46297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46297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46297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46297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46297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46297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46297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46297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46297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46297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46297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46297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46297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46297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46297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46297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46297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46297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46297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46297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46297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46297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46297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46297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46297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46297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46297</v>
      </c>
      <c r="F81" t="inlineStr">
        <is>
          <t>HALLANDS LÄN</t>
        </is>
      </c>
      <c r="G81" t="inlineStr">
        <is>
          <t>LAHOLM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46297</v>
      </c>
      <c r="F82" t="inlineStr">
        <is>
          <t>HALLANDS LÄN</t>
        </is>
      </c>
      <c r="G82" t="inlineStr">
        <is>
          <t>LAHOLM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46297</v>
      </c>
      <c r="F83" t="inlineStr">
        <is>
          <t>HALLANDS LÄN</t>
        </is>
      </c>
      <c r="G83" t="inlineStr">
        <is>
          <t>LAHOLM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46297</v>
      </c>
      <c r="F84" t="inlineStr">
        <is>
          <t>HALLANDS LÄN</t>
        </is>
      </c>
      <c r="G84" t="inlineStr">
        <is>
          <t>LAHOLM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45135</v>
      </c>
      <c r="E85" s="1" t="n">
        <v>46297</v>
      </c>
      <c r="F85" t="inlineStr">
        <is>
          <t>HALLANDS LÄN</t>
        </is>
      </c>
      <c r="G85" t="inlineStr">
        <is>
          <t>LAHOLM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44771</v>
      </c>
      <c r="E86" s="1" t="n">
        <v>46297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45362</v>
      </c>
      <c r="E87" s="1" t="n">
        <v>46297</v>
      </c>
      <c r="F87" t="inlineStr">
        <is>
          <t>HALLANDS LÄN</t>
        </is>
      </c>
      <c r="G87" t="inlineStr">
        <is>
          <t>LAHOLM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45195</v>
      </c>
      <c r="E88" s="1" t="n">
        <v>46297</v>
      </c>
      <c r="F88" t="inlineStr">
        <is>
          <t>HALLANDS LÄN</t>
        </is>
      </c>
      <c r="G88" t="inlineStr">
        <is>
          <t>LAHOLM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46297</v>
      </c>
      <c r="F89" t="inlineStr">
        <is>
          <t>HALLANDS LÄN</t>
        </is>
      </c>
      <c r="G89" t="inlineStr">
        <is>
          <t>LAHOLM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46297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46297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46297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46297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46297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47586-2024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46297</v>
      </c>
      <c r="F95" t="inlineStr">
        <is>
          <t>HALLANDS LÄN</t>
        </is>
      </c>
      <c r="G95" t="inlineStr">
        <is>
          <t>LAHOLM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60830-2024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45644</v>
      </c>
      <c r="E96" s="1" t="n">
        <v>46297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46297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46297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3022-2026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46038</v>
      </c>
      <c r="E99" s="1" t="n">
        <v>46297</v>
      </c>
      <c r="F99" t="inlineStr">
        <is>
          <t>HALLANDS LÄN</t>
        </is>
      </c>
      <c r="G99" t="inlineStr">
        <is>
          <t>LAHOLM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46297</v>
      </c>
      <c r="F100" t="inlineStr">
        <is>
          <t>HALLANDS LÄN</t>
        </is>
      </c>
      <c r="G100" t="inlineStr">
        <is>
          <t>LAHOLM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46297</v>
      </c>
      <c r="F101" t="inlineStr">
        <is>
          <t>HALLANDS LÄN</t>
        </is>
      </c>
      <c r="G101" t="inlineStr">
        <is>
          <t>LAHOLM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46297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44869</v>
      </c>
      <c r="E103" s="1" t="n">
        <v>46297</v>
      </c>
      <c r="F103" t="inlineStr">
        <is>
          <t>HALLANDS LÄN</t>
        </is>
      </c>
      <c r="G103" t="inlineStr">
        <is>
          <t>LAHOLM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46297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46297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46297</v>
      </c>
      <c r="F106" t="inlineStr">
        <is>
          <t>HALLANDS LÄN</t>
        </is>
      </c>
      <c r="G106" t="inlineStr">
        <is>
          <t>LAHOLM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45020</v>
      </c>
      <c r="E107" s="1" t="n">
        <v>46297</v>
      </c>
      <c r="F107" t="inlineStr">
        <is>
          <t>HALLANDS LÄN</t>
        </is>
      </c>
      <c r="G107" t="inlineStr">
        <is>
          <t>LAHOLM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46297</v>
      </c>
      <c r="F108" t="inlineStr">
        <is>
          <t>HALLANDS LÄN</t>
        </is>
      </c>
      <c r="G108" t="inlineStr">
        <is>
          <t>LAHOLM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46297</v>
      </c>
      <c r="F109" t="inlineStr">
        <is>
          <t>HALLANDS LÄN</t>
        </is>
      </c>
      <c r="G109" t="inlineStr">
        <is>
          <t>LAHOLM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46297</v>
      </c>
      <c r="F110" t="inlineStr">
        <is>
          <t>HALLANDS LÄN</t>
        </is>
      </c>
      <c r="G110" t="inlineStr">
        <is>
          <t>LAHOLM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64566-2021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46297</v>
      </c>
      <c r="F111" t="inlineStr">
        <is>
          <t>HALLANDS LÄN</t>
        </is>
      </c>
      <c r="G111" t="inlineStr">
        <is>
          <t>LAHOLM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64575-2021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44511</v>
      </c>
      <c r="E112" s="1" t="n">
        <v>46297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46052</v>
      </c>
      <c r="E113" s="1" t="n">
        <v>46297</v>
      </c>
      <c r="F113" t="inlineStr">
        <is>
          <t>HALLANDS LÄN</t>
        </is>
      </c>
      <c r="G113" t="inlineStr">
        <is>
          <t>LAHOLM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46297</v>
      </c>
      <c r="F114" t="inlineStr">
        <is>
          <t>HALLANDS LÄN</t>
        </is>
      </c>
      <c r="G114" t="inlineStr">
        <is>
          <t>LAHOLM</t>
        </is>
      </c>
      <c r="I114" t="n">
        <v>9.6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46297</v>
      </c>
      <c r="F115" t="inlineStr">
        <is>
          <t>HALLANDS LÄN</t>
        </is>
      </c>
      <c r="G115" t="inlineStr">
        <is>
          <t>LAHOLM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46297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46297</v>
      </c>
      <c r="F117" t="inlineStr">
        <is>
          <t>HALLANDS LÄN</t>
        </is>
      </c>
      <c r="G117" t="inlineStr">
        <is>
          <t>LAHOLM</t>
        </is>
      </c>
      <c r="H117" t="inlineStr">
        <is>
          <t>Kyrkan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46297</v>
      </c>
      <c r="F118" t="inlineStr">
        <is>
          <t>HALLANDS LÄN</t>
        </is>
      </c>
      <c r="G118" t="inlineStr">
        <is>
          <t>LAHOLM</t>
        </is>
      </c>
      <c r="H118" t="inlineStr">
        <is>
          <t>Kyrkan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46297</v>
      </c>
      <c r="F119" t="inlineStr">
        <is>
          <t>HALLANDS LÄN</t>
        </is>
      </c>
      <c r="G119" t="inlineStr">
        <is>
          <t>LAHOLM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46297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46297</v>
      </c>
      <c r="F121" t="inlineStr">
        <is>
          <t>HALLANDS LÄN</t>
        </is>
      </c>
      <c r="G121" t="inlineStr">
        <is>
          <t>LAHOLM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46297</v>
      </c>
      <c r="F122" t="inlineStr">
        <is>
          <t>HALLANDS LÄN</t>
        </is>
      </c>
      <c r="G122" t="inlineStr">
        <is>
          <t>LAHOLM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46297</v>
      </c>
      <c r="F123" t="inlineStr">
        <is>
          <t>HALLANDS LÄN</t>
        </is>
      </c>
      <c r="G123" t="inlineStr">
        <is>
          <t>LAHOLM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46297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46297</v>
      </c>
      <c r="F125" t="inlineStr">
        <is>
          <t>HALLANDS LÄN</t>
        </is>
      </c>
      <c r="G125" t="inlineStr">
        <is>
          <t>LAHOLM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45349</v>
      </c>
      <c r="E126" s="1" t="n">
        <v>46297</v>
      </c>
      <c r="F126" t="inlineStr">
        <is>
          <t>HALLANDS LÄN</t>
        </is>
      </c>
      <c r="G126" t="inlineStr">
        <is>
          <t>LAHOLM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46297</v>
      </c>
      <c r="F127" t="inlineStr">
        <is>
          <t>HALLANDS LÄN</t>
        </is>
      </c>
      <c r="G127" t="inlineStr">
        <is>
          <t>LAHOLM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46297</v>
      </c>
      <c r="F128" t="inlineStr">
        <is>
          <t>HALLANDS LÄN</t>
        </is>
      </c>
      <c r="G128" t="inlineStr">
        <is>
          <t>LAHOLM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44639</v>
      </c>
      <c r="E129" s="1" t="n">
        <v>46297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46297</v>
      </c>
      <c r="F130" t="inlineStr">
        <is>
          <t>HALLANDS LÄN</t>
        </is>
      </c>
      <c r="G130" t="inlineStr">
        <is>
          <t>LAHOLM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46297</v>
      </c>
      <c r="F131" t="inlineStr">
        <is>
          <t>HALLANDS LÄN</t>
        </is>
      </c>
      <c r="G131" t="inlineStr">
        <is>
          <t>LAHOLM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45603</v>
      </c>
      <c r="E132" s="1" t="n">
        <v>46297</v>
      </c>
      <c r="F132" t="inlineStr">
        <is>
          <t>HALLANDS LÄN</t>
        </is>
      </c>
      <c r="G132" t="inlineStr">
        <is>
          <t>LAHOLM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46297</v>
      </c>
      <c r="F133" t="inlineStr">
        <is>
          <t>HALLANDS LÄN</t>
        </is>
      </c>
      <c r="G133" t="inlineStr">
        <is>
          <t>LAHOLM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46297</v>
      </c>
      <c r="F134" t="inlineStr">
        <is>
          <t>HALLANDS LÄN</t>
        </is>
      </c>
      <c r="G134" t="inlineStr">
        <is>
          <t>LAHOLM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45519</v>
      </c>
      <c r="E135" s="1" t="n">
        <v>46297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46297</v>
      </c>
      <c r="F136" t="inlineStr">
        <is>
          <t>HALLANDS LÄN</t>
        </is>
      </c>
      <c r="G136" t="inlineStr">
        <is>
          <t>LAHOLM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46297</v>
      </c>
      <c r="F137" t="inlineStr">
        <is>
          <t>HALLANDS LÄN</t>
        </is>
      </c>
      <c r="G137" t="inlineStr">
        <is>
          <t>LAHOLM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46297</v>
      </c>
      <c r="F138" t="inlineStr">
        <is>
          <t>HALLANDS LÄN</t>
        </is>
      </c>
      <c r="G138" t="inlineStr">
        <is>
          <t>LAHOLM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46297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46297</v>
      </c>
      <c r="F140" t="inlineStr">
        <is>
          <t>HALLANDS LÄN</t>
        </is>
      </c>
      <c r="G140" t="inlineStr">
        <is>
          <t>LAHOLM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46297</v>
      </c>
      <c r="F141" t="inlineStr">
        <is>
          <t>HALLANDS LÄN</t>
        </is>
      </c>
      <c r="G141" t="inlineStr">
        <is>
          <t>LAHOLM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46091</v>
      </c>
      <c r="E142" s="1" t="n">
        <v>46297</v>
      </c>
      <c r="F142" t="inlineStr">
        <is>
          <t>HALLANDS LÄN</t>
        </is>
      </c>
      <c r="G142" t="inlineStr">
        <is>
          <t>LAHOLM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46297</v>
      </c>
      <c r="F143" t="inlineStr">
        <is>
          <t>HALLANDS LÄN</t>
        </is>
      </c>
      <c r="G143" t="inlineStr">
        <is>
          <t>LAHOLM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46297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13998-2026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46098</v>
      </c>
      <c r="E145" s="1" t="n">
        <v>46297</v>
      </c>
      <c r="F145" t="inlineStr">
        <is>
          <t>HALLANDS LÄN</t>
        </is>
      </c>
      <c r="G145" t="inlineStr">
        <is>
          <t>LAHOLM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46297</v>
      </c>
      <c r="F146" t="inlineStr">
        <is>
          <t>HALLANDS LÄN</t>
        </is>
      </c>
      <c r="G146" t="inlineStr">
        <is>
          <t>LAHOLM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44572</v>
      </c>
      <c r="E147" s="1" t="n">
        <v>46297</v>
      </c>
      <c r="F147" t="inlineStr">
        <is>
          <t>HALLANDS LÄN</t>
        </is>
      </c>
      <c r="G147" t="inlineStr">
        <is>
          <t>LAHOLM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46297</v>
      </c>
      <c r="F148" t="inlineStr">
        <is>
          <t>HALLANDS LÄN</t>
        </is>
      </c>
      <c r="G148" t="inlineStr">
        <is>
          <t>LAHOLM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46297</v>
      </c>
      <c r="F149" t="inlineStr">
        <is>
          <t>HALLANDS LÄN</t>
        </is>
      </c>
      <c r="G149" t="inlineStr">
        <is>
          <t>LAHOLM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46297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46297</v>
      </c>
      <c r="F151" t="inlineStr">
        <is>
          <t>HALLANDS LÄN</t>
        </is>
      </c>
      <c r="G151" t="inlineStr">
        <is>
          <t>LAHOLM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45959</v>
      </c>
      <c r="E152" s="1" t="n">
        <v>46297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46297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46297</v>
      </c>
      <c r="F154" t="inlineStr">
        <is>
          <t>HALLANDS LÄN</t>
        </is>
      </c>
      <c r="G154" t="inlineStr">
        <is>
          <t>LAHOLM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46297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46297</v>
      </c>
      <c r="F156" t="inlineStr">
        <is>
          <t>HALLANDS LÄN</t>
        </is>
      </c>
      <c r="G156" t="inlineStr">
        <is>
          <t>LAHOLM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45006</v>
      </c>
      <c r="E157" s="1" t="n">
        <v>46297</v>
      </c>
      <c r="F157" t="inlineStr">
        <is>
          <t>HALLANDS LÄN</t>
        </is>
      </c>
      <c r="G157" t="inlineStr">
        <is>
          <t>LAHOLM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46297</v>
      </c>
      <c r="F158" t="inlineStr">
        <is>
          <t>HALLANDS LÄN</t>
        </is>
      </c>
      <c r="G158" t="inlineStr">
        <is>
          <t>LAHOLM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46297</v>
      </c>
      <c r="F159" t="inlineStr">
        <is>
          <t>HALLANDS LÄN</t>
        </is>
      </c>
      <c r="G159" t="inlineStr">
        <is>
          <t>LAHOLM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46297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46297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57135-2022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46297</v>
      </c>
      <c r="F162" t="inlineStr">
        <is>
          <t>HALLANDS LÄN</t>
        </is>
      </c>
      <c r="G162" t="inlineStr">
        <is>
          <t>LAHOLM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45971</v>
      </c>
      <c r="E163" s="1" t="n">
        <v>46297</v>
      </c>
      <c r="F163" t="inlineStr">
        <is>
          <t>HALLANDS LÄN</t>
        </is>
      </c>
      <c r="G163" t="inlineStr">
        <is>
          <t>LAHOLM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45282</v>
      </c>
      <c r="E164" s="1" t="n">
        <v>46297</v>
      </c>
      <c r="F164" t="inlineStr">
        <is>
          <t>HALLANDS LÄN</t>
        </is>
      </c>
      <c r="G164" t="inlineStr">
        <is>
          <t>LAHOLM</t>
        </is>
      </c>
      <c r="H164" t="inlineStr">
        <is>
          <t>Övriga Aktiebolag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45020</v>
      </c>
      <c r="E165" s="1" t="n">
        <v>46297</v>
      </c>
      <c r="F165" t="inlineStr">
        <is>
          <t>HALLANDS LÄN</t>
        </is>
      </c>
      <c r="G165" t="inlineStr">
        <is>
          <t>LAHOLM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44831</v>
      </c>
      <c r="E166" s="1" t="n">
        <v>46297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46297</v>
      </c>
      <c r="F167" t="inlineStr">
        <is>
          <t>HALLANDS LÄN</t>
        </is>
      </c>
      <c r="G167" t="inlineStr">
        <is>
          <t>LAHOLM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46297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46297</v>
      </c>
      <c r="F169" t="inlineStr">
        <is>
          <t>HALLANDS LÄN</t>
        </is>
      </c>
      <c r="G169" t="inlineStr">
        <is>
          <t>LAHOLM</t>
        </is>
      </c>
      <c r="H169" t="inlineStr">
        <is>
          <t>Övriga statliga verk och myndigheter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46297</v>
      </c>
      <c r="F170" t="inlineStr">
        <is>
          <t>HALLANDS LÄN</t>
        </is>
      </c>
      <c r="G170" t="inlineStr">
        <is>
          <t>LAHOLM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45628</v>
      </c>
      <c r="E171" s="1" t="n">
        <v>46297</v>
      </c>
      <c r="F171" t="inlineStr">
        <is>
          <t>HALLANDS LÄN</t>
        </is>
      </c>
      <c r="G171" t="inlineStr">
        <is>
          <t>LAHOLM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46297</v>
      </c>
      <c r="F172" t="inlineStr">
        <is>
          <t>HALLANDS LÄN</t>
        </is>
      </c>
      <c r="G172" t="inlineStr">
        <is>
          <t>LAHOLM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45171</v>
      </c>
      <c r="E173" s="1" t="n">
        <v>46297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46297</v>
      </c>
      <c r="F174" t="inlineStr">
        <is>
          <t>HALLANDS LÄN</t>
        </is>
      </c>
      <c r="G174" t="inlineStr">
        <is>
          <t>LAHOLM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19560-2026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46297</v>
      </c>
      <c r="F175" t="inlineStr">
        <is>
          <t>HALLANDS LÄN</t>
        </is>
      </c>
      <c r="G175" t="inlineStr">
        <is>
          <t>LAHOLM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46297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45849</v>
      </c>
      <c r="E177" s="1" t="n">
        <v>46297</v>
      </c>
      <c r="F177" t="inlineStr">
        <is>
          <t>HALLANDS LÄN</t>
        </is>
      </c>
      <c r="G177" t="inlineStr">
        <is>
          <t>LAHOLM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45002</v>
      </c>
      <c r="E178" s="1" t="n">
        <v>46297</v>
      </c>
      <c r="F178" t="inlineStr">
        <is>
          <t>HALLANDS LÄN</t>
        </is>
      </c>
      <c r="G178" t="inlineStr">
        <is>
          <t>LAHOLM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46135</v>
      </c>
      <c r="E179" s="1" t="n">
        <v>46297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46297</v>
      </c>
      <c r="F180" t="inlineStr">
        <is>
          <t>HALLANDS LÄN</t>
        </is>
      </c>
      <c r="G180" t="inlineStr">
        <is>
          <t>LAHOLM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46297</v>
      </c>
      <c r="F181" t="inlineStr">
        <is>
          <t>HALLANDS LÄN</t>
        </is>
      </c>
      <c r="G181" t="inlineStr">
        <is>
          <t>LAHOLM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46297</v>
      </c>
      <c r="F182" t="inlineStr">
        <is>
          <t>HALLANDS LÄN</t>
        </is>
      </c>
      <c r="G182" t="inlineStr">
        <is>
          <t>LAHOLM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44902</v>
      </c>
      <c r="E183" s="1" t="n">
        <v>46297</v>
      </c>
      <c r="F183" t="inlineStr">
        <is>
          <t>HALLANDS LÄN</t>
        </is>
      </c>
      <c r="G183" t="inlineStr">
        <is>
          <t>LAHOLM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46297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45027</v>
      </c>
      <c r="E185" s="1" t="n">
        <v>46297</v>
      </c>
      <c r="F185" t="inlineStr">
        <is>
          <t>HALLANDS LÄN</t>
        </is>
      </c>
      <c r="G185" t="inlineStr">
        <is>
          <t>LAHOLM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46297</v>
      </c>
      <c r="F186" t="inlineStr">
        <is>
          <t>HALLANDS LÄN</t>
        </is>
      </c>
      <c r="G186" t="inlineStr">
        <is>
          <t>LAHOLM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44677</v>
      </c>
      <c r="E187" s="1" t="n">
        <v>46297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46297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46297</v>
      </c>
      <c r="F189" t="inlineStr">
        <is>
          <t>HALLANDS LÄN</t>
        </is>
      </c>
      <c r="G189" t="inlineStr">
        <is>
          <t>LAHOLM</t>
        </is>
      </c>
      <c r="H189" t="inlineStr">
        <is>
          <t>Naturvårdsverket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46297</v>
      </c>
      <c r="F190" t="inlineStr">
        <is>
          <t>HALLANDS LÄN</t>
        </is>
      </c>
      <c r="G190" t="inlineStr">
        <is>
          <t>LAHOLM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46297</v>
      </c>
      <c r="F191" t="inlineStr">
        <is>
          <t>HALLANDS LÄN</t>
        </is>
      </c>
      <c r="G191" t="inlineStr">
        <is>
          <t>LAHOLM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45707</v>
      </c>
      <c r="E192" s="1" t="n">
        <v>46297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46297</v>
      </c>
      <c r="F193" t="inlineStr">
        <is>
          <t>HALLANDS LÄN</t>
        </is>
      </c>
      <c r="G193" t="inlineStr">
        <is>
          <t>LAHOLM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46297</v>
      </c>
      <c r="F194" t="inlineStr">
        <is>
          <t>HALLANDS LÄN</t>
        </is>
      </c>
      <c r="G194" t="inlineStr">
        <is>
          <t>LAHOLM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46297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46297</v>
      </c>
      <c r="F196" t="inlineStr">
        <is>
          <t>HALLANDS LÄN</t>
        </is>
      </c>
      <c r="G196" t="inlineStr">
        <is>
          <t>LAHOLM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46297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46297</v>
      </c>
      <c r="F198" t="inlineStr">
        <is>
          <t>HALLANDS LÄN</t>
        </is>
      </c>
      <c r="G198" t="inlineStr">
        <is>
          <t>LAHOLM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46297</v>
      </c>
      <c r="F199" t="inlineStr">
        <is>
          <t>HALLANDS LÄN</t>
        </is>
      </c>
      <c r="G199" t="inlineStr">
        <is>
          <t>LAHOLM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46297</v>
      </c>
      <c r="F200" t="inlineStr">
        <is>
          <t>HALLANDS LÄN</t>
        </is>
      </c>
      <c r="G200" t="inlineStr">
        <is>
          <t>LAHOLM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46297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45299</v>
      </c>
      <c r="E202" s="1" t="n">
        <v>46297</v>
      </c>
      <c r="F202" t="inlineStr">
        <is>
          <t>HALLANDS LÄN</t>
        </is>
      </c>
      <c r="G202" t="inlineStr">
        <is>
          <t>LAHOLM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46297</v>
      </c>
      <c r="F203" t="inlineStr">
        <is>
          <t>HALLANDS LÄN</t>
        </is>
      </c>
      <c r="G203" t="inlineStr">
        <is>
          <t>LAHOLM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46297</v>
      </c>
      <c r="F204" t="inlineStr">
        <is>
          <t>HALLANDS LÄN</t>
        </is>
      </c>
      <c r="G204" t="inlineStr">
        <is>
          <t>LAHOLM</t>
        </is>
      </c>
      <c r="H204" t="inlineStr">
        <is>
          <t>Sveaskog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45849</v>
      </c>
      <c r="E205" s="1" t="n">
        <v>46297</v>
      </c>
      <c r="F205" t="inlineStr">
        <is>
          <t>HALLANDS LÄN</t>
        </is>
      </c>
      <c r="G205" t="inlineStr">
        <is>
          <t>LAHOLM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46297</v>
      </c>
      <c r="F206" t="inlineStr">
        <is>
          <t>HALLANDS LÄN</t>
        </is>
      </c>
      <c r="G206" t="inlineStr">
        <is>
          <t>LAHOLM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45849</v>
      </c>
      <c r="E207" s="1" t="n">
        <v>46297</v>
      </c>
      <c r="F207" t="inlineStr">
        <is>
          <t>HALLANDS LÄN</t>
        </is>
      </c>
      <c r="G207" t="inlineStr">
        <is>
          <t>LAHOLM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46297</v>
      </c>
      <c r="F208" t="inlineStr">
        <is>
          <t>HALLANDS LÄN</t>
        </is>
      </c>
      <c r="G208" t="inlineStr">
        <is>
          <t>LAHOLM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46297</v>
      </c>
      <c r="F209" t="inlineStr">
        <is>
          <t>HALLANDS LÄN</t>
        </is>
      </c>
      <c r="G209" t="inlineStr">
        <is>
          <t>LAHOLM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46297</v>
      </c>
      <c r="F210" t="inlineStr">
        <is>
          <t>HALLANDS LÄN</t>
        </is>
      </c>
      <c r="G210" t="inlineStr">
        <is>
          <t>LAHOLM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46297</v>
      </c>
      <c r="F211" t="inlineStr">
        <is>
          <t>HALLANDS LÄN</t>
        </is>
      </c>
      <c r="G211" t="inlineStr">
        <is>
          <t>LAHOLM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46297</v>
      </c>
      <c r="F212" t="inlineStr">
        <is>
          <t>HALLANDS LÄN</t>
        </is>
      </c>
      <c r="G212" t="inlineStr">
        <is>
          <t>LAHOLM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45644</v>
      </c>
      <c r="E213" s="1" t="n">
        <v>46297</v>
      </c>
      <c r="F213" t="inlineStr">
        <is>
          <t>HALLANDS LÄN</t>
        </is>
      </c>
      <c r="G213" t="inlineStr">
        <is>
          <t>LAHOLM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25478-2025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45802</v>
      </c>
      <c r="E214" s="1" t="n">
        <v>46297</v>
      </c>
      <c r="F214" t="inlineStr">
        <is>
          <t>HALLANDS LÄN</t>
        </is>
      </c>
      <c r="G214" t="inlineStr">
        <is>
          <t>LAHOLM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46297</v>
      </c>
      <c r="F215" t="inlineStr">
        <is>
          <t>HALLANDS LÄN</t>
        </is>
      </c>
      <c r="G215" t="inlineStr">
        <is>
          <t>LAHOLM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46297</v>
      </c>
      <c r="F216" t="inlineStr">
        <is>
          <t>HALLANDS LÄN</t>
        </is>
      </c>
      <c r="G216" t="inlineStr">
        <is>
          <t>LAHOLM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46297</v>
      </c>
      <c r="F217" t="inlineStr">
        <is>
          <t>HALLANDS LÄN</t>
        </is>
      </c>
      <c r="G217" t="inlineStr">
        <is>
          <t>LAHOLM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46297</v>
      </c>
      <c r="F218" t="inlineStr">
        <is>
          <t>HALLANDS LÄN</t>
        </is>
      </c>
      <c r="G218" t="inlineStr">
        <is>
          <t>LAHOLM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46297</v>
      </c>
      <c r="F219" t="inlineStr">
        <is>
          <t>HALLANDS LÄN</t>
        </is>
      </c>
      <c r="G219" t="inlineStr">
        <is>
          <t>LAHOLM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45322</v>
      </c>
      <c r="E220" s="1" t="n">
        <v>46297</v>
      </c>
      <c r="F220" t="inlineStr">
        <is>
          <t>HALLANDS LÄN</t>
        </is>
      </c>
      <c r="G220" t="inlineStr">
        <is>
          <t>LAHOLM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45089</v>
      </c>
      <c r="E221" s="1" t="n">
        <v>46297</v>
      </c>
      <c r="F221" t="inlineStr">
        <is>
          <t>HALLANDS LÄN</t>
        </is>
      </c>
      <c r="G221" t="inlineStr">
        <is>
          <t>LAHOLM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46297</v>
      </c>
      <c r="F222" t="inlineStr">
        <is>
          <t>HALLANDS LÄN</t>
        </is>
      </c>
      <c r="G222" t="inlineStr">
        <is>
          <t>LAHOLM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45485</v>
      </c>
      <c r="E223" s="1" t="n">
        <v>46297</v>
      </c>
      <c r="F223" t="inlineStr">
        <is>
          <t>HALLANDS LÄN</t>
        </is>
      </c>
      <c r="G223" t="inlineStr">
        <is>
          <t>LAHOLM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45156</v>
      </c>
      <c r="E224" s="1" t="n">
        <v>46297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46297</v>
      </c>
      <c r="F225" t="inlineStr">
        <is>
          <t>HALLANDS LÄN</t>
        </is>
      </c>
      <c r="G225" t="inlineStr">
        <is>
          <t>LAHOLM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65916-2021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46297</v>
      </c>
      <c r="F226" t="inlineStr">
        <is>
          <t>HALLANDS LÄN</t>
        </is>
      </c>
      <c r="G226" t="inlineStr">
        <is>
          <t>LAHOLM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46297</v>
      </c>
      <c r="F227" t="inlineStr">
        <is>
          <t>HALLANDS LÄN</t>
        </is>
      </c>
      <c r="G227" t="inlineStr">
        <is>
          <t>LAHOLM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46297</v>
      </c>
      <c r="F228" t="inlineStr">
        <is>
          <t>HALLANDS LÄN</t>
        </is>
      </c>
      <c r="G228" t="inlineStr">
        <is>
          <t>LAHOLM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45450</v>
      </c>
      <c r="E229" s="1" t="n">
        <v>46297</v>
      </c>
      <c r="F229" t="inlineStr">
        <is>
          <t>HALLANDS LÄN</t>
        </is>
      </c>
      <c r="G229" t="inlineStr">
        <is>
          <t>LAHOLM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46297</v>
      </c>
      <c r="F230" t="inlineStr">
        <is>
          <t>HALLANDS LÄN</t>
        </is>
      </c>
      <c r="G230" t="inlineStr">
        <is>
          <t>LAHOLM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45168</v>
      </c>
      <c r="E231" s="1" t="n">
        <v>46297</v>
      </c>
      <c r="F231" t="inlineStr">
        <is>
          <t>HALLANDS LÄN</t>
        </is>
      </c>
      <c r="G231" t="inlineStr">
        <is>
          <t>LAHOLM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46297</v>
      </c>
      <c r="F232" t="inlineStr">
        <is>
          <t>HALLANDS LÄN</t>
        </is>
      </c>
      <c r="G232" t="inlineStr">
        <is>
          <t>LAHOLM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46297</v>
      </c>
      <c r="F233" t="inlineStr">
        <is>
          <t>HALLANDS LÄN</t>
        </is>
      </c>
      <c r="G233" t="inlineStr">
        <is>
          <t>LAHOLM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46297</v>
      </c>
      <c r="F234" t="inlineStr">
        <is>
          <t>HALLANDS LÄN</t>
        </is>
      </c>
      <c r="G234" t="inlineStr">
        <is>
          <t>LAHOLM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46297</v>
      </c>
      <c r="F235" t="inlineStr">
        <is>
          <t>HALLANDS LÄN</t>
        </is>
      </c>
      <c r="G235" t="inlineStr">
        <is>
          <t>LAHOLM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46297</v>
      </c>
      <c r="F236" t="inlineStr">
        <is>
          <t>HALLANDS LÄN</t>
        </is>
      </c>
      <c r="G236" t="inlineStr">
        <is>
          <t>LAHOLM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46297</v>
      </c>
      <c r="F237" t="inlineStr">
        <is>
          <t>HALLANDS LÄN</t>
        </is>
      </c>
      <c r="G237" t="inlineStr">
        <is>
          <t>LAHOLM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46297</v>
      </c>
      <c r="F238" t="inlineStr">
        <is>
          <t>HALLANDS LÄN</t>
        </is>
      </c>
      <c r="G238" t="inlineStr">
        <is>
          <t>LAHOLM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44909</v>
      </c>
      <c r="E239" s="1" t="n">
        <v>46297</v>
      </c>
      <c r="F239" t="inlineStr">
        <is>
          <t>HALLANDS LÄN</t>
        </is>
      </c>
      <c r="G239" t="inlineStr">
        <is>
          <t>LAHOLM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44645</v>
      </c>
      <c r="E240" s="1" t="n">
        <v>46297</v>
      </c>
      <c r="F240" t="inlineStr">
        <is>
          <t>HALLANDS LÄN</t>
        </is>
      </c>
      <c r="G240" t="inlineStr">
        <is>
          <t>LAHOLM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44977</v>
      </c>
      <c r="E241" s="1" t="n">
        <v>46297</v>
      </c>
      <c r="F241" t="inlineStr">
        <is>
          <t>HALLANDS LÄN</t>
        </is>
      </c>
      <c r="G241" t="inlineStr">
        <is>
          <t>LAHOLM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45687</v>
      </c>
      <c r="E242" s="1" t="n">
        <v>46297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57320-2021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44483</v>
      </c>
      <c r="E243" s="1" t="n">
        <v>46297</v>
      </c>
      <c r="F243" t="inlineStr">
        <is>
          <t>HALLANDS LÄN</t>
        </is>
      </c>
      <c r="G243" t="inlineStr">
        <is>
          <t>LAHOLM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73894-2021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44553</v>
      </c>
      <c r="E244" s="1" t="n">
        <v>46297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45363</v>
      </c>
      <c r="E245" s="1" t="n">
        <v>46297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45554</v>
      </c>
      <c r="E246" s="1" t="n">
        <v>46297</v>
      </c>
      <c r="F246" t="inlineStr">
        <is>
          <t>HALLANDS LÄN</t>
        </is>
      </c>
      <c r="G246" t="inlineStr">
        <is>
          <t>LAHOLM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46297</v>
      </c>
      <c r="F247" t="inlineStr">
        <is>
          <t>HALLANDS LÄN</t>
        </is>
      </c>
      <c r="G247" t="inlineStr">
        <is>
          <t>LAHOLM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46297</v>
      </c>
      <c r="F248" t="inlineStr">
        <is>
          <t>HALLANDS LÄN</t>
        </is>
      </c>
      <c r="G248" t="inlineStr">
        <is>
          <t>LAHOLM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46297</v>
      </c>
      <c r="F249" t="inlineStr">
        <is>
          <t>HALLANDS LÄN</t>
        </is>
      </c>
      <c r="G249" t="inlineStr">
        <is>
          <t>LAHOLM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52520-2023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46297</v>
      </c>
      <c r="F250" t="inlineStr">
        <is>
          <t>HALLANDS LÄN</t>
        </is>
      </c>
      <c r="G250" t="inlineStr">
        <is>
          <t>LAHOLM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46297</v>
      </c>
      <c r="F251" t="inlineStr">
        <is>
          <t>HALLANDS LÄN</t>
        </is>
      </c>
      <c r="G251" t="inlineStr">
        <is>
          <t>LAHOLM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44880</v>
      </c>
      <c r="E252" s="1" t="n">
        <v>46297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58771-2024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45635</v>
      </c>
      <c r="E253" s="1" t="n">
        <v>46297</v>
      </c>
      <c r="F253" t="inlineStr">
        <is>
          <t>HALLANDS LÄN</t>
        </is>
      </c>
      <c r="G253" t="inlineStr">
        <is>
          <t>LAHOLM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46297</v>
      </c>
      <c r="F254" t="inlineStr">
        <is>
          <t>HALLANDS LÄN</t>
        </is>
      </c>
      <c r="G254" t="inlineStr">
        <is>
          <t>LAHOLM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46297</v>
      </c>
      <c r="F255" t="inlineStr">
        <is>
          <t>HALLANDS LÄN</t>
        </is>
      </c>
      <c r="G255" t="inlineStr">
        <is>
          <t>LAHOLM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46297</v>
      </c>
      <c r="F256" t="inlineStr">
        <is>
          <t>HALLANDS LÄN</t>
        </is>
      </c>
      <c r="G256" t="inlineStr">
        <is>
          <t>LAHOLM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46297</v>
      </c>
      <c r="F257" t="inlineStr">
        <is>
          <t>HALLANDS LÄN</t>
        </is>
      </c>
      <c r="G257" t="inlineStr">
        <is>
          <t>LAHOLM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46297</v>
      </c>
      <c r="F258" t="inlineStr">
        <is>
          <t>HALLANDS LÄN</t>
        </is>
      </c>
      <c r="G258" t="inlineStr">
        <is>
          <t>LAHOLM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46297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45104</v>
      </c>
      <c r="E260" s="1" t="n">
        <v>46297</v>
      </c>
      <c r="F260" t="inlineStr">
        <is>
          <t>HALLANDS LÄN</t>
        </is>
      </c>
      <c r="G260" t="inlineStr">
        <is>
          <t>LAHOLM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46297</v>
      </c>
      <c r="F261" t="inlineStr">
        <is>
          <t>HALLANDS LÄN</t>
        </is>
      </c>
      <c r="G261" t="inlineStr">
        <is>
          <t>LAHOLM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44902</v>
      </c>
      <c r="E262" s="1" t="n">
        <v>46297</v>
      </c>
      <c r="F262" t="inlineStr">
        <is>
          <t>HALLANDS LÄN</t>
        </is>
      </c>
      <c r="G262" t="inlineStr">
        <is>
          <t>LAHOLM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46297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45700</v>
      </c>
      <c r="E264" s="1" t="n">
        <v>46297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44603</v>
      </c>
      <c r="E265" s="1" t="n">
        <v>46297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46297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45195</v>
      </c>
      <c r="E267" s="1" t="n">
        <v>46297</v>
      </c>
      <c r="F267" t="inlineStr">
        <is>
          <t>HALLANDS LÄN</t>
        </is>
      </c>
      <c r="G267" t="inlineStr">
        <is>
          <t>LAHOLM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45299</v>
      </c>
      <c r="E268" s="1" t="n">
        <v>46297</v>
      </c>
      <c r="F268" t="inlineStr">
        <is>
          <t>HALLANDS LÄN</t>
        </is>
      </c>
      <c r="G268" t="inlineStr">
        <is>
          <t>LAHOLM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46297</v>
      </c>
      <c r="F269" t="inlineStr">
        <is>
          <t>HALLANDS LÄN</t>
        </is>
      </c>
      <c r="G269" t="inlineStr">
        <is>
          <t>LAHOLM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46297</v>
      </c>
      <c r="F270" t="inlineStr">
        <is>
          <t>HALLANDS LÄN</t>
        </is>
      </c>
      <c r="G270" t="inlineStr">
        <is>
          <t>LAHOLM</t>
        </is>
      </c>
      <c r="H270" t="inlineStr">
        <is>
          <t>Kommuner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45253</v>
      </c>
      <c r="E271" s="1" t="n">
        <v>46297</v>
      </c>
      <c r="F271" t="inlineStr">
        <is>
          <t>HALLANDS LÄN</t>
        </is>
      </c>
      <c r="G271" t="inlineStr">
        <is>
          <t>LAHOLM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46151</v>
      </c>
      <c r="E272" s="1" t="n">
        <v>46297</v>
      </c>
      <c r="F272" t="inlineStr">
        <is>
          <t>HALLANDS LÄN</t>
        </is>
      </c>
      <c r="G272" t="inlineStr">
        <is>
          <t>LAHOLM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45385</v>
      </c>
      <c r="E273" s="1" t="n">
        <v>46297</v>
      </c>
      <c r="F273" t="inlineStr">
        <is>
          <t>HALLANDS LÄN</t>
        </is>
      </c>
      <c r="G273" t="inlineStr">
        <is>
          <t>LAHOLM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45278</v>
      </c>
      <c r="E274" s="1" t="n">
        <v>46297</v>
      </c>
      <c r="F274" t="inlineStr">
        <is>
          <t>HALLANDS LÄN</t>
        </is>
      </c>
      <c r="G274" t="inlineStr">
        <is>
          <t>LAHOLM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45342</v>
      </c>
      <c r="E275" s="1" t="n">
        <v>46297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45342</v>
      </c>
      <c r="E276" s="1" t="n">
        <v>46297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46297</v>
      </c>
      <c r="F277" t="inlineStr">
        <is>
          <t>HALLANDS LÄN</t>
        </is>
      </c>
      <c r="G277" t="inlineStr">
        <is>
          <t>LAHOLM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46297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46297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46297</v>
      </c>
      <c r="F280" t="inlineStr">
        <is>
          <t>HALLANDS LÄN</t>
        </is>
      </c>
      <c r="G280" t="inlineStr">
        <is>
          <t>LAHOLM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45139</v>
      </c>
      <c r="E281" s="1" t="n">
        <v>46297</v>
      </c>
      <c r="F281" t="inlineStr">
        <is>
          <t>HALLANDS LÄN</t>
        </is>
      </c>
      <c r="G281" t="inlineStr">
        <is>
          <t>LAHOLM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55312-2023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46297</v>
      </c>
      <c r="F282" t="inlineStr">
        <is>
          <t>HALLANDS LÄN</t>
        </is>
      </c>
      <c r="G282" t="inlineStr">
        <is>
          <t>LAHOLM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59429-2021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44491</v>
      </c>
      <c r="E283" s="1" t="n">
        <v>46297</v>
      </c>
      <c r="F283" t="inlineStr">
        <is>
          <t>HALLANDS LÄN</t>
        </is>
      </c>
      <c r="G283" t="inlineStr">
        <is>
          <t>LAHOLM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46297</v>
      </c>
      <c r="F284" t="inlineStr">
        <is>
          <t>HALLANDS LÄN</t>
        </is>
      </c>
      <c r="G284" t="inlineStr">
        <is>
          <t>LAHOLM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53532-2024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46297</v>
      </c>
      <c r="F285" t="inlineStr">
        <is>
          <t>HALLANDS LÄN</t>
        </is>
      </c>
      <c r="G285" t="inlineStr">
        <is>
          <t>LAHOLM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46297</v>
      </c>
      <c r="F286" t="inlineStr">
        <is>
          <t>HALLANDS LÄN</t>
        </is>
      </c>
      <c r="G286" t="inlineStr">
        <is>
          <t>LAHOLM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45582</v>
      </c>
      <c r="E287" s="1" t="n">
        <v>46297</v>
      </c>
      <c r="F287" t="inlineStr">
        <is>
          <t>HALLANDS LÄN</t>
        </is>
      </c>
      <c r="G287" t="inlineStr">
        <is>
          <t>LAHOLM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44984</v>
      </c>
      <c r="E288" s="1" t="n">
        <v>46297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46297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67861-2021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44525</v>
      </c>
      <c r="E290" s="1" t="n">
        <v>46297</v>
      </c>
      <c r="F290" t="inlineStr">
        <is>
          <t>HALLANDS LÄN</t>
        </is>
      </c>
      <c r="G290" t="inlineStr">
        <is>
          <t>LAHOLM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45112</v>
      </c>
      <c r="E291" s="1" t="n">
        <v>46297</v>
      </c>
      <c r="F291" t="inlineStr">
        <is>
          <t>HALLANDS LÄN</t>
        </is>
      </c>
      <c r="G291" t="inlineStr">
        <is>
          <t>LAHOLM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46297</v>
      </c>
      <c r="F292" t="inlineStr">
        <is>
          <t>HALLANDS LÄN</t>
        </is>
      </c>
      <c r="G292" t="inlineStr">
        <is>
          <t>LAHOLM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46297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45849</v>
      </c>
      <c r="E294" s="1" t="n">
        <v>46297</v>
      </c>
      <c r="F294" t="inlineStr">
        <is>
          <t>HALLANDS LÄN</t>
        </is>
      </c>
      <c r="G294" t="inlineStr">
        <is>
          <t>LAHOLM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46297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45699</v>
      </c>
      <c r="E296" s="1" t="n">
        <v>46297</v>
      </c>
      <c r="F296" t="inlineStr">
        <is>
          <t>HALLANDS LÄN</t>
        </is>
      </c>
      <c r="G296" t="inlineStr">
        <is>
          <t>LAHOLM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45126</v>
      </c>
      <c r="E297" s="1" t="n">
        <v>46297</v>
      </c>
      <c r="F297" t="inlineStr">
        <is>
          <t>HALLANDS LÄN</t>
        </is>
      </c>
      <c r="G297" t="inlineStr">
        <is>
          <t>LAHOLM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45562</v>
      </c>
      <c r="E298" s="1" t="n">
        <v>46297</v>
      </c>
      <c r="F298" t="inlineStr">
        <is>
          <t>HALLANDS LÄN</t>
        </is>
      </c>
      <c r="G298" t="inlineStr">
        <is>
          <t>LAHOLM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45098</v>
      </c>
      <c r="E299" s="1" t="n">
        <v>46297</v>
      </c>
      <c r="F299" t="inlineStr">
        <is>
          <t>HALLANDS LÄN</t>
        </is>
      </c>
      <c r="G299" t="inlineStr">
        <is>
          <t>LAHOLM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45415</v>
      </c>
      <c r="E300" s="1" t="n">
        <v>46297</v>
      </c>
      <c r="F300" t="inlineStr">
        <is>
          <t>HALLANDS LÄN</t>
        </is>
      </c>
      <c r="G300" t="inlineStr">
        <is>
          <t>LAHOLM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46297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46297</v>
      </c>
      <c r="F302" t="inlineStr">
        <is>
          <t>HALLANDS LÄN</t>
        </is>
      </c>
      <c r="G302" t="inlineStr">
        <is>
          <t>LAHOLM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46297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46297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46297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46297</v>
      </c>
      <c r="F306" t="inlineStr">
        <is>
          <t>HALLANDS LÄN</t>
        </is>
      </c>
      <c r="G306" t="inlineStr">
        <is>
          <t>LAHOLM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46297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45630</v>
      </c>
      <c r="E308" s="1" t="n">
        <v>46297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46297</v>
      </c>
      <c r="F309" t="inlineStr">
        <is>
          <t>HALLANDS LÄN</t>
        </is>
      </c>
      <c r="G309" t="inlineStr">
        <is>
          <t>LAHOLM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46297</v>
      </c>
      <c r="F310" t="inlineStr">
        <is>
          <t>HALLANDS LÄN</t>
        </is>
      </c>
      <c r="G310" t="inlineStr">
        <is>
          <t>LAHOLM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45139</v>
      </c>
      <c r="E311" s="1" t="n">
        <v>46297</v>
      </c>
      <c r="F311" t="inlineStr">
        <is>
          <t>HALLANDS LÄN</t>
        </is>
      </c>
      <c r="G311" t="inlineStr">
        <is>
          <t>LAHOLM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60341-2024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45643</v>
      </c>
      <c r="E312" s="1" t="n">
        <v>46297</v>
      </c>
      <c r="F312" t="inlineStr">
        <is>
          <t>HALLANDS LÄN</t>
        </is>
      </c>
      <c r="G312" t="inlineStr">
        <is>
          <t>LAHOLM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46297</v>
      </c>
      <c r="F313" t="inlineStr">
        <is>
          <t>HALLANDS LÄN</t>
        </is>
      </c>
      <c r="G313" t="inlineStr">
        <is>
          <t>LAHOLM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45531</v>
      </c>
      <c r="E314" s="1" t="n">
        <v>46297</v>
      </c>
      <c r="F314" t="inlineStr">
        <is>
          <t>HALLANDS LÄN</t>
        </is>
      </c>
      <c r="G314" t="inlineStr">
        <is>
          <t>LAHOLM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27223-2026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46184</v>
      </c>
      <c r="E315" s="1" t="n">
        <v>46297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46297</v>
      </c>
      <c r="F316" t="inlineStr">
        <is>
          <t>HALLANDS LÄN</t>
        </is>
      </c>
      <c r="G316" t="inlineStr">
        <is>
          <t>LAHOLM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46297</v>
      </c>
      <c r="F317" t="inlineStr">
        <is>
          <t>HALLANDS LÄN</t>
        </is>
      </c>
      <c r="G317" t="inlineStr">
        <is>
          <t>LAHOLM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35891-2022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44802</v>
      </c>
      <c r="E318" s="1" t="n">
        <v>46297</v>
      </c>
      <c r="F318" t="inlineStr">
        <is>
          <t>HALLANDS LÄN</t>
        </is>
      </c>
      <c r="G318" t="inlineStr">
        <is>
          <t>LAHOLM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46297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46297</v>
      </c>
      <c r="F320" t="inlineStr">
        <is>
          <t>HALLANDS LÄN</t>
        </is>
      </c>
      <c r="G320" t="inlineStr">
        <is>
          <t>LAHOLM</t>
        </is>
      </c>
      <c r="H320" t="inlineStr">
        <is>
          <t>Kommuner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46297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46297</v>
      </c>
      <c r="F322" t="inlineStr">
        <is>
          <t>HALLANDS LÄN</t>
        </is>
      </c>
      <c r="G322" t="inlineStr">
        <is>
          <t>LAHOLM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69589-2021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44532</v>
      </c>
      <c r="E323" s="1" t="n">
        <v>46297</v>
      </c>
      <c r="F323" t="inlineStr">
        <is>
          <t>HALLANDS LÄN</t>
        </is>
      </c>
      <c r="G323" t="inlineStr">
        <is>
          <t>LAHOLM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46297</v>
      </c>
      <c r="F324" t="inlineStr">
        <is>
          <t>HALLANDS LÄN</t>
        </is>
      </c>
      <c r="G324" t="inlineStr">
        <is>
          <t>LAHOLM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18820-2024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45426</v>
      </c>
      <c r="E325" s="1" t="n">
        <v>46297</v>
      </c>
      <c r="F325" t="inlineStr">
        <is>
          <t>HALLANDS LÄN</t>
        </is>
      </c>
      <c r="G325" t="inlineStr">
        <is>
          <t>LAHOLM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18334-2025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46297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46297</v>
      </c>
      <c r="F327" t="inlineStr">
        <is>
          <t>HALLANDS LÄN</t>
        </is>
      </c>
      <c r="G327" t="inlineStr">
        <is>
          <t>LAHOLM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46297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46297</v>
      </c>
      <c r="F329" t="inlineStr">
        <is>
          <t>HALLANDS LÄN</t>
        </is>
      </c>
      <c r="G329" t="inlineStr">
        <is>
          <t>LAHOLM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46297</v>
      </c>
      <c r="F330" t="inlineStr">
        <is>
          <t>HALLANDS LÄN</t>
        </is>
      </c>
      <c r="G330" t="inlineStr">
        <is>
          <t>LAHOLM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46297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46297</v>
      </c>
      <c r="F332" t="inlineStr">
        <is>
          <t>HALLANDS LÄN</t>
        </is>
      </c>
      <c r="G332" t="inlineStr">
        <is>
          <t>LAHOLM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45232</v>
      </c>
      <c r="E333" s="1" t="n">
        <v>46297</v>
      </c>
      <c r="F333" t="inlineStr">
        <is>
          <t>HALLANDS LÄN</t>
        </is>
      </c>
      <c r="G333" t="inlineStr">
        <is>
          <t>LAHOLM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46297</v>
      </c>
      <c r="F334" t="inlineStr">
        <is>
          <t>HALLANDS LÄN</t>
        </is>
      </c>
      <c r="G334" t="inlineStr">
        <is>
          <t>LAHOLM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46297</v>
      </c>
      <c r="F335" t="inlineStr">
        <is>
          <t>HALLANDS LÄN</t>
        </is>
      </c>
      <c r="G335" t="inlineStr">
        <is>
          <t>LAHOLM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45179</v>
      </c>
      <c r="E336" s="1" t="n">
        <v>46297</v>
      </c>
      <c r="F336" t="inlineStr">
        <is>
          <t>HALLANDS LÄN</t>
        </is>
      </c>
      <c r="G336" t="inlineStr">
        <is>
          <t>LAHOLM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46297</v>
      </c>
      <c r="F337" t="inlineStr">
        <is>
          <t>HALLANDS LÄN</t>
        </is>
      </c>
      <c r="G337" t="inlineStr">
        <is>
          <t>LAHOLM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45688</v>
      </c>
      <c r="E338" s="1" t="n">
        <v>46297</v>
      </c>
      <c r="F338" t="inlineStr">
        <is>
          <t>HALLANDS LÄN</t>
        </is>
      </c>
      <c r="G338" t="inlineStr">
        <is>
          <t>LAHOLM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46297</v>
      </c>
      <c r="F339" t="inlineStr">
        <is>
          <t>HALLANDS LÄN</t>
        </is>
      </c>
      <c r="G339" t="inlineStr">
        <is>
          <t>LAHOLM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46297</v>
      </c>
      <c r="F340" t="inlineStr">
        <is>
          <t>HALLANDS LÄN</t>
        </is>
      </c>
      <c r="G340" t="inlineStr">
        <is>
          <t>LAHOLM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46297</v>
      </c>
      <c r="F341" t="inlineStr">
        <is>
          <t>HALLANDS LÄN</t>
        </is>
      </c>
      <c r="G341" t="inlineStr">
        <is>
          <t>LAHOLM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44753</v>
      </c>
      <c r="E342" s="1" t="n">
        <v>46297</v>
      </c>
      <c r="F342" t="inlineStr">
        <is>
          <t>HALLANDS LÄN</t>
        </is>
      </c>
      <c r="G342" t="inlineStr">
        <is>
          <t>LAHOLM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46297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46297</v>
      </c>
      <c r="F344" t="inlineStr">
        <is>
          <t>HALLANDS LÄN</t>
        </is>
      </c>
      <c r="G344" t="inlineStr">
        <is>
          <t>LAHOLM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46209</v>
      </c>
      <c r="E345" s="1" t="n">
        <v>46297</v>
      </c>
      <c r="F345" t="inlineStr">
        <is>
          <t>HALLANDS LÄN</t>
        </is>
      </c>
      <c r="G345" t="inlineStr">
        <is>
          <t>LAHOLM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46297</v>
      </c>
      <c r="F346" t="inlineStr">
        <is>
          <t>HALLANDS LÄN</t>
        </is>
      </c>
      <c r="G346" t="inlineStr">
        <is>
          <t>LAHOLM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45195</v>
      </c>
      <c r="E347" s="1" t="n">
        <v>46297</v>
      </c>
      <c r="F347" t="inlineStr">
        <is>
          <t>HALLANDS LÄN</t>
        </is>
      </c>
      <c r="G347" t="inlineStr">
        <is>
          <t>LAHOLM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46297</v>
      </c>
      <c r="F348" t="inlineStr">
        <is>
          <t>HALLANDS LÄN</t>
        </is>
      </c>
      <c r="G348" t="inlineStr">
        <is>
          <t>LAHOLM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46297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45385</v>
      </c>
      <c r="E350" s="1" t="n">
        <v>46297</v>
      </c>
      <c r="F350" t="inlineStr">
        <is>
          <t>HALLANDS LÄN</t>
        </is>
      </c>
      <c r="G350" t="inlineStr">
        <is>
          <t>LAHOLM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46211</v>
      </c>
      <c r="E351" s="1" t="n">
        <v>46297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45159</v>
      </c>
      <c r="E352" s="1" t="n">
        <v>46297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46164-2024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46297</v>
      </c>
      <c r="F353" t="inlineStr">
        <is>
          <t>HALLANDS LÄN</t>
        </is>
      </c>
      <c r="G353" t="inlineStr">
        <is>
          <t>LAHOLM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46255</v>
      </c>
      <c r="E354" s="1" t="n">
        <v>46297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45707</v>
      </c>
      <c r="E355" s="1" t="n">
        <v>46297</v>
      </c>
      <c r="F355" t="inlineStr">
        <is>
          <t>HALLANDS LÄN</t>
        </is>
      </c>
      <c r="G355" t="inlineStr">
        <is>
          <t>LAHOLM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46297</v>
      </c>
      <c r="F356" t="inlineStr">
        <is>
          <t>HALLANDS LÄN</t>
        </is>
      </c>
      <c r="G356" t="inlineStr">
        <is>
          <t>LAHOLM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45314</v>
      </c>
      <c r="E357" s="1" t="n">
        <v>46297</v>
      </c>
      <c r="F357" t="inlineStr">
        <is>
          <t>HALLANDS LÄN</t>
        </is>
      </c>
      <c r="G357" t="inlineStr">
        <is>
          <t>LAHOLM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45337</v>
      </c>
      <c r="E358" s="1" t="n">
        <v>46297</v>
      </c>
      <c r="F358" t="inlineStr">
        <is>
          <t>HALLANDS LÄN</t>
        </is>
      </c>
      <c r="G358" t="inlineStr">
        <is>
          <t>LAHOLM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46297</v>
      </c>
      <c r="F359" t="inlineStr">
        <is>
          <t>HALLANDS LÄN</t>
        </is>
      </c>
      <c r="G359" t="inlineStr">
        <is>
          <t>LAHOLM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35001-2026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46259</v>
      </c>
      <c r="E360" s="1" t="n">
        <v>46297</v>
      </c>
      <c r="F360" t="inlineStr">
        <is>
          <t>HALLANDS LÄN</t>
        </is>
      </c>
      <c r="G360" t="inlineStr">
        <is>
          <t>LAHOLM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46297</v>
      </c>
      <c r="F361" t="inlineStr">
        <is>
          <t>HALLANDS LÄN</t>
        </is>
      </c>
      <c r="G361" t="inlineStr">
        <is>
          <t>LAHOLM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46297</v>
      </c>
      <c r="F362" t="inlineStr">
        <is>
          <t>HALLANDS LÄN</t>
        </is>
      </c>
      <c r="G362" t="inlineStr">
        <is>
          <t>LAHOLM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45230</v>
      </c>
      <c r="E363" s="1" t="n">
        <v>46297</v>
      </c>
      <c r="F363" t="inlineStr">
        <is>
          <t>HALLANDS LÄN</t>
        </is>
      </c>
      <c r="G363" t="inlineStr">
        <is>
          <t>LAHOLM</t>
        </is>
      </c>
      <c r="H363" t="inlineStr">
        <is>
          <t>Övriga statliga verk och myndigheter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46297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45131</v>
      </c>
      <c r="E365" s="1" t="n">
        <v>46297</v>
      </c>
      <c r="F365" t="inlineStr">
        <is>
          <t>HALLANDS LÄN</t>
        </is>
      </c>
      <c r="G365" t="inlineStr">
        <is>
          <t>LAHOLM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46297</v>
      </c>
      <c r="F366" t="inlineStr">
        <is>
          <t>HALLANDS LÄN</t>
        </is>
      </c>
      <c r="G366" t="inlineStr">
        <is>
          <t>LAHOLM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44764</v>
      </c>
      <c r="E367" s="1" t="n">
        <v>46297</v>
      </c>
      <c r="F367" t="inlineStr">
        <is>
          <t>HALLANDS LÄN</t>
        </is>
      </c>
      <c r="G367" t="inlineStr">
        <is>
          <t>LAHOLM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46222</v>
      </c>
      <c r="E368" s="1" t="n">
        <v>46297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45035</v>
      </c>
      <c r="E369" s="1" t="n">
        <v>46297</v>
      </c>
      <c r="F369" t="inlineStr">
        <is>
          <t>HALLANDS LÄN</t>
        </is>
      </c>
      <c r="G369" t="inlineStr">
        <is>
          <t>LAHOLM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46297</v>
      </c>
      <c r="F370" t="inlineStr">
        <is>
          <t>HALLANDS LÄN</t>
        </is>
      </c>
      <c r="G370" t="inlineStr">
        <is>
          <t>LAHOLM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52056-2022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44873</v>
      </c>
      <c r="E371" s="1" t="n">
        <v>46297</v>
      </c>
      <c r="F371" t="inlineStr">
        <is>
          <t>HALLANDS LÄN</t>
        </is>
      </c>
      <c r="G371" t="inlineStr">
        <is>
          <t>LAHOLM</t>
        </is>
      </c>
      <c r="H371" t="inlineStr">
        <is>
          <t>Sveaskog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45135</v>
      </c>
      <c r="E372" s="1" t="n">
        <v>46297</v>
      </c>
      <c r="F372" t="inlineStr">
        <is>
          <t>HALLANDS LÄN</t>
        </is>
      </c>
      <c r="G372" t="inlineStr">
        <is>
          <t>LAHOLM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58427-2022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44901</v>
      </c>
      <c r="E373" s="1" t="n">
        <v>46297</v>
      </c>
      <c r="F373" t="inlineStr">
        <is>
          <t>HALLANDS LÄN</t>
        </is>
      </c>
      <c r="G373" t="inlineStr">
        <is>
          <t>LAHOLM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46297</v>
      </c>
      <c r="F374" t="inlineStr">
        <is>
          <t>HALLANDS LÄN</t>
        </is>
      </c>
      <c r="G374" t="inlineStr">
        <is>
          <t>LAHOLM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44882</v>
      </c>
      <c r="E375" s="1" t="n">
        <v>46297</v>
      </c>
      <c r="F375" t="inlineStr">
        <is>
          <t>HALLANDS LÄN</t>
        </is>
      </c>
      <c r="G375" t="inlineStr">
        <is>
          <t>LAHOLM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46269</v>
      </c>
      <c r="E376" s="1" t="n">
        <v>46297</v>
      </c>
      <c r="F376" t="inlineStr">
        <is>
          <t>HALLANDS LÄN</t>
        </is>
      </c>
      <c r="G376" t="inlineStr">
        <is>
          <t>LAHOLM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46297</v>
      </c>
      <c r="F377" t="inlineStr">
        <is>
          <t>HALLANDS LÄN</t>
        </is>
      </c>
      <c r="G377" t="inlineStr">
        <is>
          <t>LAHOLM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55523-2023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45232</v>
      </c>
      <c r="E378" s="1" t="n">
        <v>46297</v>
      </c>
      <c r="F378" t="inlineStr">
        <is>
          <t>HALLANDS LÄN</t>
        </is>
      </c>
      <c r="G378" t="inlineStr">
        <is>
          <t>LAHOLM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46272</v>
      </c>
      <c r="E379" s="1" t="n">
        <v>46297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46297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39465-2023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45166</v>
      </c>
      <c r="E381" s="1" t="n">
        <v>46297</v>
      </c>
      <c r="F381" t="inlineStr">
        <is>
          <t>HALLANDS LÄN</t>
        </is>
      </c>
      <c r="G381" t="inlineStr">
        <is>
          <t>LAHOLM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46297</v>
      </c>
      <c r="F382" t="inlineStr">
        <is>
          <t>HALLANDS LÄN</t>
        </is>
      </c>
      <c r="G382" t="inlineStr">
        <is>
          <t>LAHOLM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60025-2022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44909</v>
      </c>
      <c r="E383" s="1" t="n">
        <v>46297</v>
      </c>
      <c r="F383" t="inlineStr">
        <is>
          <t>HALLANDS LÄN</t>
        </is>
      </c>
      <c r="G383" t="inlineStr">
        <is>
          <t>LAHOLM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45385</v>
      </c>
      <c r="E384" s="1" t="n">
        <v>46297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46297</v>
      </c>
      <c r="F385" t="inlineStr">
        <is>
          <t>HALLANDS LÄN</t>
        </is>
      </c>
      <c r="G385" t="inlineStr">
        <is>
          <t>LAHOLM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46297</v>
      </c>
      <c r="F386" t="inlineStr">
        <is>
          <t>HALLANDS LÄN</t>
        </is>
      </c>
      <c r="G386" t="inlineStr">
        <is>
          <t>LAHOLM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46237</v>
      </c>
      <c r="E387" s="1" t="n">
        <v>46297</v>
      </c>
      <c r="F387" t="inlineStr">
        <is>
          <t>HALLANDS LÄN</t>
        </is>
      </c>
      <c r="G387" t="inlineStr">
        <is>
          <t>LAHOLM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46297</v>
      </c>
      <c r="F388" t="inlineStr">
        <is>
          <t>HALLANDS LÄN</t>
        </is>
      </c>
      <c r="G388" t="inlineStr">
        <is>
          <t>LAHOLM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31358-2022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44774</v>
      </c>
      <c r="E389" s="1" t="n">
        <v>46297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46297</v>
      </c>
      <c r="F390" t="inlineStr">
        <is>
          <t>HALLANDS LÄN</t>
        </is>
      </c>
      <c r="G390" t="inlineStr">
        <is>
          <t>LAHOLM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46279</v>
      </c>
      <c r="E391" s="1" t="n">
        <v>46297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46237</v>
      </c>
      <c r="E392" s="1" t="n">
        <v>46297</v>
      </c>
      <c r="F392" t="inlineStr">
        <is>
          <t>HALLANDS LÄN</t>
        </is>
      </c>
      <c r="G392" t="inlineStr">
        <is>
          <t>LAHOLM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46297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8891-2024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45357</v>
      </c>
      <c r="E394" s="1" t="n">
        <v>46297</v>
      </c>
      <c r="F394" t="inlineStr">
        <is>
          <t>HALLANDS LÄN</t>
        </is>
      </c>
      <c r="G394" t="inlineStr">
        <is>
          <t>LAHOLM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46297</v>
      </c>
      <c r="F395" t="inlineStr">
        <is>
          <t>HALLANDS LÄN</t>
        </is>
      </c>
      <c r="G395" t="inlineStr">
        <is>
          <t>LAHOLM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46297</v>
      </c>
      <c r="F396" t="inlineStr">
        <is>
          <t>HALLANDS LÄN</t>
        </is>
      </c>
      <c r="G396" t="inlineStr">
        <is>
          <t>LAHOLM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24390-2022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44726</v>
      </c>
      <c r="E397" s="1" t="n">
        <v>46297</v>
      </c>
      <c r="F397" t="inlineStr">
        <is>
          <t>HALLANDS LÄN</t>
        </is>
      </c>
      <c r="G397" t="inlineStr">
        <is>
          <t>LAHOLM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44726</v>
      </c>
      <c r="E398" s="1" t="n">
        <v>46297</v>
      </c>
      <c r="F398" t="inlineStr">
        <is>
          <t>HALLANDS LÄN</t>
        </is>
      </c>
      <c r="G398" t="inlineStr">
        <is>
          <t>LAHOLM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38884-2026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46286</v>
      </c>
      <c r="E399" s="1" t="n">
        <v>46297</v>
      </c>
      <c r="F399" t="inlineStr">
        <is>
          <t>HALLANDS LÄN</t>
        </is>
      </c>
      <c r="G399" t="inlineStr">
        <is>
          <t>LAHOLM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45278</v>
      </c>
      <c r="E400" s="1" t="n">
        <v>46297</v>
      </c>
      <c r="F400" t="inlineStr">
        <is>
          <t>HALLANDS LÄN</t>
        </is>
      </c>
      <c r="G400" t="inlineStr">
        <is>
          <t>LAHOLM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46297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46297</v>
      </c>
      <c r="F402" t="inlineStr">
        <is>
          <t>HALLANDS LÄN</t>
        </is>
      </c>
      <c r="G402" t="inlineStr">
        <is>
          <t>LAHOLM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45658</v>
      </c>
      <c r="E403" s="1" t="n">
        <v>46297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17227-2023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46297</v>
      </c>
      <c r="F404" t="inlineStr">
        <is>
          <t>HALLANDS LÄN</t>
        </is>
      </c>
      <c r="G404" t="inlineStr">
        <is>
          <t>LAHOLM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46297</v>
      </c>
      <c r="F405" t="inlineStr">
        <is>
          <t>HALLANDS LÄN</t>
        </is>
      </c>
      <c r="G405" t="inlineStr">
        <is>
          <t>LAHOLM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46297</v>
      </c>
      <c r="F406" t="inlineStr">
        <is>
          <t>HALLANDS LÄN</t>
        </is>
      </c>
      <c r="G406" t="inlineStr">
        <is>
          <t>LAHOLM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46297</v>
      </c>
      <c r="F407" t="inlineStr">
        <is>
          <t>HALLANDS LÄN</t>
        </is>
      </c>
      <c r="G407" t="inlineStr">
        <is>
          <t>LAHOLM</t>
        </is>
      </c>
      <c r="H407" t="inlineStr">
        <is>
          <t>Kommuner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45440</v>
      </c>
      <c r="E408" s="1" t="n">
        <v>46297</v>
      </c>
      <c r="F408" t="inlineStr">
        <is>
          <t>HALLANDS LÄN</t>
        </is>
      </c>
      <c r="G408" t="inlineStr">
        <is>
          <t>LAHOLM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45320</v>
      </c>
      <c r="E409" s="1" t="n">
        <v>46297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46297</v>
      </c>
      <c r="F410" t="inlineStr">
        <is>
          <t>HALLANDS LÄN</t>
        </is>
      </c>
      <c r="G410" t="inlineStr">
        <is>
          <t>LAHOLM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46297</v>
      </c>
      <c r="F411" t="inlineStr">
        <is>
          <t>HALLANDS LÄN</t>
        </is>
      </c>
      <c r="G411" t="inlineStr">
        <is>
          <t>LAHOLM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46297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45453</v>
      </c>
      <c r="E413" s="1" t="n">
        <v>46297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46290</v>
      </c>
      <c r="E414" s="1" t="n">
        <v>46297</v>
      </c>
      <c r="F414" t="inlineStr">
        <is>
          <t>HALLANDS LÄN</t>
        </is>
      </c>
      <c r="G414" t="inlineStr">
        <is>
          <t>LAHOLM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45327</v>
      </c>
      <c r="E415" s="1" t="n">
        <v>46297</v>
      </c>
      <c r="F415" t="inlineStr">
        <is>
          <t>HALLANDS LÄN</t>
        </is>
      </c>
      <c r="G415" t="inlineStr">
        <is>
          <t>LAHOLM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44810</v>
      </c>
      <c r="E416" s="1" t="n">
        <v>46297</v>
      </c>
      <c r="F416" t="inlineStr">
        <is>
          <t>HALLANDS LÄN</t>
        </is>
      </c>
      <c r="G416" t="inlineStr">
        <is>
          <t>LAHOLM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46297</v>
      </c>
      <c r="F417" t="inlineStr">
        <is>
          <t>HALLANDS LÄN</t>
        </is>
      </c>
      <c r="G417" t="inlineStr">
        <is>
          <t>LAHOLM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46246</v>
      </c>
      <c r="E418" s="1" t="n">
        <v>46297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44949</v>
      </c>
      <c r="E419" s="1" t="n">
        <v>46297</v>
      </c>
      <c r="F419" t="inlineStr">
        <is>
          <t>HALLANDS LÄN</t>
        </is>
      </c>
      <c r="G419" t="inlineStr">
        <is>
          <t>LAHOLM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6833-2022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44602</v>
      </c>
      <c r="E420" s="1" t="n">
        <v>46297</v>
      </c>
      <c r="F420" t="inlineStr">
        <is>
          <t>HALLANDS LÄN</t>
        </is>
      </c>
      <c r="G420" t="inlineStr">
        <is>
          <t>LAHOLM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46290</v>
      </c>
      <c r="E421" s="1" t="n">
        <v>46297</v>
      </c>
      <c r="F421" t="inlineStr">
        <is>
          <t>HALLANDS LÄN</t>
        </is>
      </c>
      <c r="G421" t="inlineStr">
        <is>
          <t>LAHOLM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46246</v>
      </c>
      <c r="E422" s="1" t="n">
        <v>46297</v>
      </c>
      <c r="F422" t="inlineStr">
        <is>
          <t>HALLANDS LÄN</t>
        </is>
      </c>
      <c r="G422" t="inlineStr">
        <is>
          <t>LAHOLM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46246</v>
      </c>
      <c r="E423" s="1" t="n">
        <v>46297</v>
      </c>
      <c r="F423" t="inlineStr">
        <is>
          <t>HALLANDS LÄN</t>
        </is>
      </c>
      <c r="G423" t="inlineStr">
        <is>
          <t>LAHOLM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46290</v>
      </c>
      <c r="E424" s="1" t="n">
        <v>46297</v>
      </c>
      <c r="F424" t="inlineStr">
        <is>
          <t>HALLANDS LÄN</t>
        </is>
      </c>
      <c r="G424" t="inlineStr">
        <is>
          <t>LAHOLM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46290</v>
      </c>
      <c r="E425" s="1" t="n">
        <v>46297</v>
      </c>
      <c r="F425" t="inlineStr">
        <is>
          <t>HALLANDS LÄN</t>
        </is>
      </c>
      <c r="G425" t="inlineStr">
        <is>
          <t>LAHOLM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46297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46297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46288</v>
      </c>
      <c r="E428" s="1" t="n">
        <v>46297</v>
      </c>
      <c r="F428" t="inlineStr">
        <is>
          <t>HALLANDS LÄN</t>
        </is>
      </c>
      <c r="G428" t="inlineStr">
        <is>
          <t>LAHOLM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44883</v>
      </c>
      <c r="E429" s="1" t="n">
        <v>46297</v>
      </c>
      <c r="F429" t="inlineStr">
        <is>
          <t>HALLANDS LÄN</t>
        </is>
      </c>
      <c r="G429" t="inlineStr">
        <is>
          <t>LAHOLM</t>
        </is>
      </c>
      <c r="H429" t="inlineStr">
        <is>
          <t>Kommuner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51002-2024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46297</v>
      </c>
      <c r="F430" t="inlineStr">
        <is>
          <t>HALLANDS LÄN</t>
        </is>
      </c>
      <c r="G430" t="inlineStr">
        <is>
          <t>LAHOLM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44909</v>
      </c>
      <c r="E431" s="1" t="n">
        <v>46297</v>
      </c>
      <c r="F431" t="inlineStr">
        <is>
          <t>HALLANDS LÄN</t>
        </is>
      </c>
      <c r="G431" t="inlineStr">
        <is>
          <t>LAHOLM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46297</v>
      </c>
      <c r="F432" t="inlineStr">
        <is>
          <t>HALLANDS LÄN</t>
        </is>
      </c>
      <c r="G432" t="inlineStr">
        <is>
          <t>LAHOLM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46297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46297</v>
      </c>
      <c r="F434" t="inlineStr">
        <is>
          <t>HALLANDS LÄN</t>
        </is>
      </c>
      <c r="G434" t="inlineStr">
        <is>
          <t>LAHOLM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51134-2023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46297</v>
      </c>
      <c r="F435" t="inlineStr">
        <is>
          <t>HALLANDS LÄN</t>
        </is>
      </c>
      <c r="G435" t="inlineStr">
        <is>
          <t>LAHOLM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45664</v>
      </c>
      <c r="E436" s="1" t="n">
        <v>46297</v>
      </c>
      <c r="F436" t="inlineStr">
        <is>
          <t>HALLANDS LÄN</t>
        </is>
      </c>
      <c r="G436" t="inlineStr">
        <is>
          <t>LAHOLM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46297</v>
      </c>
      <c r="F437" t="inlineStr">
        <is>
          <t>HALLANDS LÄN</t>
        </is>
      </c>
      <c r="G437" t="inlineStr">
        <is>
          <t>LAHOLM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46297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46297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46297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45040</v>
      </c>
      <c r="E441" s="1" t="n">
        <v>46297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46297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46297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44929</v>
      </c>
      <c r="E444" s="1" t="n">
        <v>46297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46297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Aktiebolag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46297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46297</v>
      </c>
      <c r="F447" t="inlineStr">
        <is>
          <t>HALLANDS LÄN</t>
        </is>
      </c>
      <c r="G447" t="inlineStr">
        <is>
          <t>LAHOLM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45206</v>
      </c>
      <c r="E448" s="1" t="n">
        <v>46297</v>
      </c>
      <c r="F448" t="inlineStr">
        <is>
          <t>HALLANDS LÄN</t>
        </is>
      </c>
      <c r="G448" t="inlineStr">
        <is>
          <t>LAHOLM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46297</v>
      </c>
      <c r="F449" t="inlineStr">
        <is>
          <t>HALLANDS LÄN</t>
        </is>
      </c>
      <c r="G449" t="inlineStr">
        <is>
          <t>LAHOLM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46297</v>
      </c>
      <c r="F450" t="inlineStr">
        <is>
          <t>HALLANDS LÄN</t>
        </is>
      </c>
      <c r="G450" t="inlineStr">
        <is>
          <t>LAHOLM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46297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46297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45576</v>
      </c>
      <c r="E453" s="1" t="n">
        <v>46297</v>
      </c>
      <c r="F453" t="inlineStr">
        <is>
          <t>HALLANDS LÄN</t>
        </is>
      </c>
      <c r="G453" t="inlineStr">
        <is>
          <t>LAHOLM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45538</v>
      </c>
      <c r="E454" s="1" t="n">
        <v>46297</v>
      </c>
      <c r="F454" t="inlineStr">
        <is>
          <t>HALLANDS LÄN</t>
        </is>
      </c>
      <c r="G454" t="inlineStr">
        <is>
          <t>LAHOLM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46297</v>
      </c>
      <c r="F455" t="inlineStr">
        <is>
          <t>HALLANDS LÄN</t>
        </is>
      </c>
      <c r="G455" t="inlineStr">
        <is>
          <t>LAHOLM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46297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46297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46297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46297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46297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46297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46297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46297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46297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46297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46297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46297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46297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46297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46297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46297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46297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2493-2026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46288</v>
      </c>
      <c r="E473" s="1" t="n">
        <v>46297</v>
      </c>
      <c r="F473" t="inlineStr">
        <is>
          <t>HALLANDS LÄN</t>
        </is>
      </c>
      <c r="G473" t="inlineStr">
        <is>
          <t>LAHOLM</t>
        </is>
      </c>
      <c r="I473" t="n">
        <v>12.3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2026-10-02T02:02:35Z</dcterms:created>
  <dcterms:modified xmlns:dcterms="http://purl.org/dc/terms/" xmlns:xsi="http://www.w3.org/2001/XMLSchema-instance" xsi:type="dcterms:W3CDTF">2026-10-02T02:02:35Z</dcterms:modified>
</cp:coreProperties>
</file>