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46239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46239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46239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46239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46239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46239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46239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46239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46239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46239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46239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5677-2022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44596</v>
      </c>
      <c r="E24" s="1" t="n">
        <v>46239</v>
      </c>
      <c r="F24" t="inlineStr">
        <is>
          <t>HALLANDS LÄN</t>
        </is>
      </c>
      <c r="G24" t="inlineStr">
        <is>
          <t>LAHOLM</t>
        </is>
      </c>
      <c r="I24" t="n">
        <v>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5677-2022 artfynd.xlsx", "A 5677-2022")</f>
        <v/>
      </c>
      <c r="X24">
        <f>HYPERLINK("https://klasma.github.io/Logging_1381/kartor/A 5677-2022 karta.png", "A 5677-2022")</f>
        <v/>
      </c>
      <c r="Y24">
        <f>HYPERLINK("https://klasma.github.io/Logging_1381/kartor_geotiff/A 5677-2022 georefererad karta.tif", "A 5677-2022")</f>
        <v/>
      </c>
      <c r="AA24">
        <f>HYPERLINK("https://klasma.github.io/Logging_1381/klagomål/A 5677-2022 FSC-klagomål.docx", "A 5677-2022")</f>
        <v/>
      </c>
      <c r="AB24">
        <f>HYPERLINK("https://klasma.github.io/Logging_1381/klagomålsmail/A 5677-2022 FSC-klagomål mail.docx", "A 5677-2022")</f>
        <v/>
      </c>
      <c r="AC24">
        <f>HYPERLINK("https://klasma.github.io/Logging_1381/tillsyn/A 5677-2022 tillsynsbegäran.docx", "A 5677-2022")</f>
        <v/>
      </c>
      <c r="AD24">
        <f>HYPERLINK("https://klasma.github.io/Logging_1381/tillsynsmail/A 5677-2022 tillsynsbegäran mail.docx", "A 5677-2022")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46239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46239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46239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35453-2023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46239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35453-2023 artfynd.xlsx", "A 35453-2023")</f>
        <v/>
      </c>
      <c r="X28">
        <f>HYPERLINK("https://klasma.github.io/Logging_1381/kartor/A 35453-2023 karta.png", "A 35453-2023")</f>
        <v/>
      </c>
      <c r="Y28">
        <f>HYPERLINK("https://klasma.github.io/Logging_1381/kartor_geotiff/A 35453-2023 georefererad karta.tif", "A 35453-2023")</f>
        <v/>
      </c>
      <c r="AA28">
        <f>HYPERLINK("https://klasma.github.io/Logging_1381/klagomål/A 35453-2023 FSC-klagomål.docx", "A 35453-2023")</f>
        <v/>
      </c>
      <c r="AB28">
        <f>HYPERLINK("https://klasma.github.io/Logging_1381/klagomålsmail/A 35453-2023 FSC-klagomål mail.docx", "A 35453-2023")</f>
        <v/>
      </c>
      <c r="AC28">
        <f>HYPERLINK("https://klasma.github.io/Logging_1381/tillsyn/A 35453-2023 tillsynsbegäran.docx", "A 35453-2023")</f>
        <v/>
      </c>
      <c r="AD28">
        <f>HYPERLINK("https://klasma.github.io/Logging_1381/tillsynsmail/A 35453-2023 tillsynsbegäran mail.docx", "A 35453-2023")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46239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37556-2023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45159</v>
      </c>
      <c r="E30" s="1" t="n">
        <v>46239</v>
      </c>
      <c r="F30" t="inlineStr">
        <is>
          <t>HALLANDS LÄN</t>
        </is>
      </c>
      <c r="G30" t="inlineStr">
        <is>
          <t>LAHOLM</t>
        </is>
      </c>
      <c r="I30" t="n">
        <v>0.9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2</v>
      </c>
      <c r="V30" s="2" t="inlineStr">
        <is>
          <t>Vildris</t>
        </is>
      </c>
      <c r="W30">
        <f>HYPERLINK("https://klasma.github.io/Logging_1381/artfynd/A 37556-2023 artfynd.xlsx", "A 37556-2023")</f>
        <v/>
      </c>
      <c r="X30">
        <f>HYPERLINK("https://klasma.github.io/Logging_1381/kartor/A 37556-2023 karta.png", "A 37556-2023")</f>
        <v/>
      </c>
      <c r="Y30">
        <f>HYPERLINK("https://klasma.github.io/Logging_1381/kartor_geotiff/A 37556-2023 georefererad karta.tif", "A 37556-2023")</f>
        <v/>
      </c>
      <c r="AA30">
        <f>HYPERLINK("https://klasma.github.io/Logging_1381/klagomål/A 37556-2023 FSC-klagomål.docx", "A 37556-2023")</f>
        <v/>
      </c>
      <c r="AB30">
        <f>HYPERLINK("https://klasma.github.io/Logging_1381/klagomålsmail/A 37556-2023 FSC-klagomål mail.docx", "A 37556-2023")</f>
        <v/>
      </c>
      <c r="AC30">
        <f>HYPERLINK("https://klasma.github.io/Logging_1381/tillsyn/A 37556-2023 tillsynsbegäran.docx", "A 37556-2023")</f>
        <v/>
      </c>
      <c r="AD30">
        <f>HYPERLINK("https://klasma.github.io/Logging_1381/tillsynsmail/A 37556-2023 tillsynsbegäran mail.docx", "A 37556-2023")</f>
        <v/>
      </c>
    </row>
    <row r="31" ht="15" customHeight="1">
      <c r="A31" t="inlineStr">
        <is>
          <t>A 3576-2025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46239</v>
      </c>
      <c r="F31" t="inlineStr">
        <is>
          <t>HALLANDS LÄN</t>
        </is>
      </c>
      <c r="G31" t="inlineStr">
        <is>
          <t>LAHOLM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HYPERLINK("https://klasma.github.io/Logging_1381/artfynd/A 3576-2025 artfynd.xlsx", "A 3576-2025")</f>
        <v/>
      </c>
      <c r="X31">
        <f>HYPERLINK("https://klasma.github.io/Logging_1381/kartor/A 3576-2025 karta.png", "A 3576-2025")</f>
        <v/>
      </c>
      <c r="Y31">
        <f>HYPERLINK("https://klasma.github.io/Logging_1381/kartor_geotiff/A 3576-2025 georefererad karta.tif", "A 3576-2025")</f>
        <v/>
      </c>
      <c r="AA31">
        <f>HYPERLINK("https://klasma.github.io/Logging_1381/klagomål/A 3576-2025 FSC-klagomål.docx", "A 3576-2025")</f>
        <v/>
      </c>
      <c r="AB31">
        <f>HYPERLINK("https://klasma.github.io/Logging_1381/klagomålsmail/A 3576-2025 FSC-klagomål mail.docx", "A 3576-2025")</f>
        <v/>
      </c>
      <c r="AC31">
        <f>HYPERLINK("https://klasma.github.io/Logging_1381/tillsyn/A 3576-2025 tillsynsbegäran.docx", "A 3576-2025")</f>
        <v/>
      </c>
      <c r="AD31">
        <f>HYPERLINK("https://klasma.github.io/Logging_1381/tillsynsmail/A 3576-2025 tillsynsbegäran mail.docx", "A 3576-2025")</f>
        <v/>
      </c>
      <c r="AE31">
        <f>HYPERLINK("https://klasma.github.io/Logging_1381/fåglar/A 3576-2025 prioriterade fågelarter.docx", "A 3576-2025")</f>
        <v/>
      </c>
    </row>
    <row r="32" ht="15" customHeight="1">
      <c r="A32" t="inlineStr">
        <is>
          <t>A 55322-2025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45971</v>
      </c>
      <c r="E32" s="1" t="n">
        <v>46239</v>
      </c>
      <c r="F32" t="inlineStr">
        <is>
          <t>HALLANDS LÄN</t>
        </is>
      </c>
      <c r="G32" t="inlineStr">
        <is>
          <t>LAHOLM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Hårginst</t>
        </is>
      </c>
      <c r="W32">
        <f>HYPERLINK("https://klasma.github.io/Logging_1381/artfynd/A 55322-2025 artfynd.xlsx", "A 55322-2025")</f>
        <v/>
      </c>
      <c r="X32">
        <f>HYPERLINK("https://klasma.github.io/Logging_1381/kartor/A 55322-2025 karta.png", "A 55322-2025")</f>
        <v/>
      </c>
      <c r="Y32">
        <f>HYPERLINK("https://klasma.github.io/Logging_1381/kartor_geotiff/A 55322-2025 georefererad karta.tif", "A 55322-2025")</f>
        <v/>
      </c>
      <c r="AA32">
        <f>HYPERLINK("https://klasma.github.io/Logging_1381/klagomål/A 55322-2025 FSC-klagomål.docx", "A 55322-2025")</f>
        <v/>
      </c>
      <c r="AB32">
        <f>HYPERLINK("https://klasma.github.io/Logging_1381/klagomålsmail/A 55322-2025 FSC-klagomål mail.docx", "A 55322-2025")</f>
        <v/>
      </c>
      <c r="AC32">
        <f>HYPERLINK("https://klasma.github.io/Logging_1381/tillsyn/A 55322-2025 tillsynsbegäran.docx", "A 55322-2025")</f>
        <v/>
      </c>
      <c r="AD32">
        <f>HYPERLINK("https://klasma.github.io/Logging_1381/tillsynsmail/A 55322-2025 tillsynsbegäran mail.docx", "A 55322-2025")</f>
        <v/>
      </c>
    </row>
    <row r="33" ht="15" customHeight="1">
      <c r="A33" t="inlineStr">
        <is>
          <t>A 6361-2026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46239</v>
      </c>
      <c r="F33" t="inlineStr">
        <is>
          <t>HALLANDS LÄN</t>
        </is>
      </c>
      <c r="G33" t="inlineStr">
        <is>
          <t>LAHOLM</t>
        </is>
      </c>
      <c r="I33" t="n">
        <v>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Flikbålmossa</t>
        </is>
      </c>
      <c r="W33">
        <f>HYPERLINK("https://klasma.github.io/Logging_1381/artfynd/A 6361-2026 artfynd.xlsx", "A 6361-2026")</f>
        <v/>
      </c>
      <c r="X33">
        <f>HYPERLINK("https://klasma.github.io/Logging_1381/kartor/A 6361-2026 karta.png", "A 6361-2026")</f>
        <v/>
      </c>
      <c r="Y33">
        <f>HYPERLINK("https://klasma.github.io/Logging_1381/kartor_geotiff/A 6361-2026 georefererad karta.tif", "A 6361-2026")</f>
        <v/>
      </c>
      <c r="AA33">
        <f>HYPERLINK("https://klasma.github.io/Logging_1381/klagomål/A 6361-2026 FSC-klagomål.docx", "A 6361-2026")</f>
        <v/>
      </c>
      <c r="AB33">
        <f>HYPERLINK("https://klasma.github.io/Logging_1381/klagomålsmail/A 6361-2026 FSC-klagomål mail.docx", "A 6361-2026")</f>
        <v/>
      </c>
      <c r="AC33">
        <f>HYPERLINK("https://klasma.github.io/Logging_1381/tillsyn/A 6361-2026 tillsynsbegäran.docx", "A 6361-2026")</f>
        <v/>
      </c>
      <c r="AD33">
        <f>HYPERLINK("https://klasma.github.io/Logging_1381/tillsynsmail/A 6361-2026 tillsynsbegäran mail.docx", "A 6361-2026")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46239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52155-2023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45224</v>
      </c>
      <c r="E35" s="1" t="n">
        <v>46239</v>
      </c>
      <c r="F35" t="inlineStr">
        <is>
          <t>HALLANDS LÄN</t>
        </is>
      </c>
      <c r="G35" t="inlineStr">
        <is>
          <t>LAHOLM</t>
        </is>
      </c>
      <c r="I35" t="n">
        <v>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HYPERLINK("https://klasma.github.io/Logging_1381/artfynd/A 52155-2023 artfynd.xlsx", "A 52155-2023")</f>
        <v/>
      </c>
      <c r="X35">
        <f>HYPERLINK("https://klasma.github.io/Logging_1381/kartor/A 52155-2023 karta.png", "A 52155-2023")</f>
        <v/>
      </c>
      <c r="Y35">
        <f>HYPERLINK("https://klasma.github.io/Logging_1381/kartor_geotiff/A 52155-2023 georefererad karta.tif", "A 52155-2023")</f>
        <v/>
      </c>
      <c r="AA35">
        <f>HYPERLINK("https://klasma.github.io/Logging_1381/klagomål/A 52155-2023 FSC-klagomål.docx", "A 52155-2023")</f>
        <v/>
      </c>
      <c r="AB35">
        <f>HYPERLINK("https://klasma.github.io/Logging_1381/klagomålsmail/A 52155-2023 FSC-klagomål mail.docx", "A 52155-2023")</f>
        <v/>
      </c>
      <c r="AC35">
        <f>HYPERLINK("https://klasma.github.io/Logging_1381/tillsyn/A 52155-2023 tillsynsbegäran.docx", "A 52155-2023")</f>
        <v/>
      </c>
      <c r="AD35">
        <f>HYPERLINK("https://klasma.github.io/Logging_1381/tillsynsmail/A 52155-2023 tillsynsbegäran mail.docx", "A 52155-2023")</f>
        <v/>
      </c>
      <c r="AE35">
        <f>HYPERLINK("https://klasma.github.io/Logging_1381/fåglar/A 52155-2023 prioriterade fågelarter.docx", "A 52155-2023")</f>
        <v/>
      </c>
    </row>
    <row r="36" ht="15" customHeight="1">
      <c r="A36" t="inlineStr">
        <is>
          <t>A 35897-2022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46239</v>
      </c>
      <c r="F36" t="inlineStr">
        <is>
          <t>HALLANDS LÄN</t>
        </is>
      </c>
      <c r="G36" t="inlineStr">
        <is>
          <t>LAHOLM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HYPERLINK("https://klasma.github.io/Logging_1381/artfynd/A 35897-2022 artfynd.xlsx", "A 35897-2022")</f>
        <v/>
      </c>
      <c r="X36">
        <f>HYPERLINK("https://klasma.github.io/Logging_1381/kartor/A 35897-2022 karta.png", "A 35897-2022")</f>
        <v/>
      </c>
      <c r="Y36">
        <f>HYPERLINK("https://klasma.github.io/Logging_1381/kartor_geotiff/A 35897-2022 georefererad karta.tif", "A 35897-2022")</f>
        <v/>
      </c>
      <c r="AA36">
        <f>HYPERLINK("https://klasma.github.io/Logging_1381/klagomål/A 35897-2022 FSC-klagomål.docx", "A 35897-2022")</f>
        <v/>
      </c>
      <c r="AB36">
        <f>HYPERLINK("https://klasma.github.io/Logging_1381/klagomålsmail/A 35897-2022 FSC-klagomål mail.docx", "A 35897-2022")</f>
        <v/>
      </c>
      <c r="AC36">
        <f>HYPERLINK("https://klasma.github.io/Logging_1381/tillsyn/A 35897-2022 tillsynsbegäran.docx", "A 35897-2022")</f>
        <v/>
      </c>
      <c r="AD36">
        <f>HYPERLINK("https://klasma.github.io/Logging_1381/tillsynsmail/A 35897-2022 tillsynsbegäran mail.docx", "A 35897-2022")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46239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46239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46239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46239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46239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46239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46239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46239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46239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46239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46239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46239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46239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46239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46239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46239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46239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46239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28922-2022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44749</v>
      </c>
      <c r="E55" s="1" t="n">
        <v>46239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46239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44698</v>
      </c>
      <c r="E57" s="1" t="n">
        <v>46239</v>
      </c>
      <c r="F57" t="inlineStr">
        <is>
          <t>HALLANDS LÄN</t>
        </is>
      </c>
      <c r="G57" t="inlineStr">
        <is>
          <t>LAHOLM</t>
        </is>
      </c>
      <c r="H57" t="inlineStr">
        <is>
          <t>Kyrkan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44698</v>
      </c>
      <c r="E58" s="1" t="n">
        <v>46239</v>
      </c>
      <c r="F58" t="inlineStr">
        <is>
          <t>HALLANDS LÄN</t>
        </is>
      </c>
      <c r="G58" t="inlineStr">
        <is>
          <t>LAHOLM</t>
        </is>
      </c>
      <c r="H58" t="inlineStr">
        <is>
          <t>Kyrkan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70611-2021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46239</v>
      </c>
      <c r="F59" t="inlineStr">
        <is>
          <t>HALLANDS LÄN</t>
        </is>
      </c>
      <c r="G59" t="inlineStr">
        <is>
          <t>LAHOLM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46239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57327-2021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46239</v>
      </c>
      <c r="F61" t="inlineStr">
        <is>
          <t>HALLANDS LÄN</t>
        </is>
      </c>
      <c r="G61" t="inlineStr">
        <is>
          <t>LAHOLM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46239</v>
      </c>
      <c r="F62" t="inlineStr">
        <is>
          <t>HALLANDS LÄN</t>
        </is>
      </c>
      <c r="G62" t="inlineStr">
        <is>
          <t>LAHOLM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53693-2021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44469</v>
      </c>
      <c r="E63" s="1" t="n">
        <v>46239</v>
      </c>
      <c r="F63" t="inlineStr">
        <is>
          <t>HALLANDS LÄN</t>
        </is>
      </c>
      <c r="G63" t="inlineStr">
        <is>
          <t>LAHOLM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46239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46239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46239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46239</v>
      </c>
      <c r="F67" t="inlineStr">
        <is>
          <t>HALLANDS LÄN</t>
        </is>
      </c>
      <c r="G67" t="inlineStr">
        <is>
          <t>LAHOLM</t>
        </is>
      </c>
      <c r="H67" t="inlineStr">
        <is>
          <t>Övriga statliga verk och myndigheter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46239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46239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73853-2021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44553</v>
      </c>
      <c r="E70" s="1" t="n">
        <v>46239</v>
      </c>
      <c r="F70" t="inlineStr">
        <is>
          <t>HALLANDS LÄN</t>
        </is>
      </c>
      <c r="G70" t="inlineStr">
        <is>
          <t>LAHOLM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46239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46239</v>
      </c>
      <c r="F72" t="inlineStr">
        <is>
          <t>HALLANDS LÄN</t>
        </is>
      </c>
      <c r="G72" t="inlineStr">
        <is>
          <t>LAHOLM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46239</v>
      </c>
      <c r="F73" t="inlineStr">
        <is>
          <t>HALLANDS LÄN</t>
        </is>
      </c>
      <c r="G73" t="inlineStr">
        <is>
          <t>LAHOLM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45006</v>
      </c>
      <c r="E74" s="1" t="n">
        <v>46239</v>
      </c>
      <c r="F74" t="inlineStr">
        <is>
          <t>HALLANDS LÄN</t>
        </is>
      </c>
      <c r="G74" t="inlineStr">
        <is>
          <t>LAHOLM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45006</v>
      </c>
      <c r="E75" s="1" t="n">
        <v>46239</v>
      </c>
      <c r="F75" t="inlineStr">
        <is>
          <t>HALLANDS LÄN</t>
        </is>
      </c>
      <c r="G75" t="inlineStr">
        <is>
          <t>LAHOLM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46239</v>
      </c>
      <c r="F76" t="inlineStr">
        <is>
          <t>HALLANDS LÄN</t>
        </is>
      </c>
      <c r="G76" t="inlineStr">
        <is>
          <t>LAHOLM</t>
        </is>
      </c>
      <c r="H76" t="inlineStr">
        <is>
          <t>Övriga statliga verk och myndigheter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46239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46239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45131</v>
      </c>
      <c r="E79" s="1" t="n">
        <v>46239</v>
      </c>
      <c r="F79" t="inlineStr">
        <is>
          <t>HALLANDS LÄN</t>
        </is>
      </c>
      <c r="G79" t="inlineStr">
        <is>
          <t>LAHOLM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46239</v>
      </c>
      <c r="F80" t="inlineStr">
        <is>
          <t>HALLANDS LÄN</t>
        </is>
      </c>
      <c r="G80" t="inlineStr">
        <is>
          <t>LAHOLM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46239</v>
      </c>
      <c r="F81" t="inlineStr">
        <is>
          <t>HALLANDS LÄN</t>
        </is>
      </c>
      <c r="G81" t="inlineStr">
        <is>
          <t>LAHOLM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44764</v>
      </c>
      <c r="E82" s="1" t="n">
        <v>46239</v>
      </c>
      <c r="F82" t="inlineStr">
        <is>
          <t>HALLANDS LÄN</t>
        </is>
      </c>
      <c r="G82" t="inlineStr">
        <is>
          <t>LAHOLM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45625</v>
      </c>
      <c r="E83" s="1" t="n">
        <v>46239</v>
      </c>
      <c r="F83" t="inlineStr">
        <is>
          <t>HALLANDS LÄN</t>
        </is>
      </c>
      <c r="G83" t="inlineStr">
        <is>
          <t>LAHOLM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46239</v>
      </c>
      <c r="F84" t="inlineStr">
        <is>
          <t>HALLANDS LÄN</t>
        </is>
      </c>
      <c r="G84" t="inlineStr">
        <is>
          <t>LAHOLM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45734</v>
      </c>
      <c r="E85" s="1" t="n">
        <v>46239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45327</v>
      </c>
      <c r="E86" s="1" t="n">
        <v>46239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44873</v>
      </c>
      <c r="E87" s="1" t="n">
        <v>46239</v>
      </c>
      <c r="F87" t="inlineStr">
        <is>
          <t>HALLANDS LÄN</t>
        </is>
      </c>
      <c r="G87" t="inlineStr">
        <is>
          <t>LAHOLM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45688</v>
      </c>
      <c r="E88" s="1" t="n">
        <v>46239</v>
      </c>
      <c r="F88" t="inlineStr">
        <is>
          <t>HALLANDS LÄN</t>
        </is>
      </c>
      <c r="G88" t="inlineStr">
        <is>
          <t>LAHOLM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45171</v>
      </c>
      <c r="E89" s="1" t="n">
        <v>46239</v>
      </c>
      <c r="F89" t="inlineStr">
        <is>
          <t>HALLANDS LÄN</t>
        </is>
      </c>
      <c r="G89" t="inlineStr">
        <is>
          <t>LAHOLM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45135</v>
      </c>
      <c r="E90" s="1" t="n">
        <v>46239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46239</v>
      </c>
      <c r="F91" t="inlineStr">
        <is>
          <t>HALLANDS LÄN</t>
        </is>
      </c>
      <c r="G91" t="inlineStr">
        <is>
          <t>LAHOLM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19969-2023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45054</v>
      </c>
      <c r="E92" s="1" t="n">
        <v>46239</v>
      </c>
      <c r="F92" t="inlineStr">
        <is>
          <t>HALLANDS LÄN</t>
        </is>
      </c>
      <c r="G92" t="inlineStr">
        <is>
          <t>LAHOLM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46239</v>
      </c>
      <c r="F93" t="inlineStr">
        <is>
          <t>HALLANDS LÄN</t>
        </is>
      </c>
      <c r="G93" t="inlineStr">
        <is>
          <t>LAHOLM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46239</v>
      </c>
      <c r="F94" t="inlineStr">
        <is>
          <t>HALLANDS LÄN</t>
        </is>
      </c>
      <c r="G94" t="inlineStr">
        <is>
          <t>LAHOLM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46239</v>
      </c>
      <c r="F95" t="inlineStr">
        <is>
          <t>HALLANDS LÄN</t>
        </is>
      </c>
      <c r="G95" t="inlineStr">
        <is>
          <t>LAHOLM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46239</v>
      </c>
      <c r="F96" t="inlineStr">
        <is>
          <t>HALLANDS LÄN</t>
        </is>
      </c>
      <c r="G96" t="inlineStr">
        <is>
          <t>LAHOLM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46239</v>
      </c>
      <c r="F97" t="inlineStr">
        <is>
          <t>HALLANDS LÄN</t>
        </is>
      </c>
      <c r="G97" t="inlineStr">
        <is>
          <t>LAHOLM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46239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55523-2023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46239</v>
      </c>
      <c r="F99" t="inlineStr">
        <is>
          <t>HALLANDS LÄN</t>
        </is>
      </c>
      <c r="G99" t="inlineStr">
        <is>
          <t>LAHOLM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29637-2025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46239</v>
      </c>
      <c r="F100" t="inlineStr">
        <is>
          <t>HALLANDS LÄN</t>
        </is>
      </c>
      <c r="G100" t="inlineStr">
        <is>
          <t>LAHOLM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46239</v>
      </c>
      <c r="F101" t="inlineStr">
        <is>
          <t>HALLANDS LÄN</t>
        </is>
      </c>
      <c r="G101" t="inlineStr">
        <is>
          <t>LAHOLM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45364</v>
      </c>
      <c r="E102" s="1" t="n">
        <v>46239</v>
      </c>
      <c r="F102" t="inlineStr">
        <is>
          <t>HALLANDS LÄN</t>
        </is>
      </c>
      <c r="G102" t="inlineStr">
        <is>
          <t>LAHOLM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45135</v>
      </c>
      <c r="E103" s="1" t="n">
        <v>46239</v>
      </c>
      <c r="F103" t="inlineStr">
        <is>
          <t>HALLANDS LÄN</t>
        </is>
      </c>
      <c r="G103" t="inlineStr">
        <is>
          <t>LAHOLM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46239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46239</v>
      </c>
      <c r="F105" t="inlineStr">
        <is>
          <t>HALLANDS LÄN</t>
        </is>
      </c>
      <c r="G105" t="inlineStr">
        <is>
          <t>LAHOLM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46239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46239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46239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39465-2023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45166</v>
      </c>
      <c r="E109" s="1" t="n">
        <v>46239</v>
      </c>
      <c r="F109" t="inlineStr">
        <is>
          <t>HALLANDS LÄN</t>
        </is>
      </c>
      <c r="G109" t="inlineStr">
        <is>
          <t>LAHOLM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45327</v>
      </c>
      <c r="E110" s="1" t="n">
        <v>46239</v>
      </c>
      <c r="F110" t="inlineStr">
        <is>
          <t>HALLANDS LÄN</t>
        </is>
      </c>
      <c r="G110" t="inlineStr">
        <is>
          <t>LAHOLM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46239</v>
      </c>
      <c r="F111" t="inlineStr">
        <is>
          <t>HALLANDS LÄN</t>
        </is>
      </c>
      <c r="G111" t="inlineStr">
        <is>
          <t>LAHOLM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46239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46239</v>
      </c>
      <c r="F113" t="inlineStr">
        <is>
          <t>HALLANDS LÄN</t>
        </is>
      </c>
      <c r="G113" t="inlineStr">
        <is>
          <t>LAHOLM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44810</v>
      </c>
      <c r="E114" s="1" t="n">
        <v>46239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46239</v>
      </c>
      <c r="F115" t="inlineStr">
        <is>
          <t>HALLANDS LÄN</t>
        </is>
      </c>
      <c r="G115" t="inlineStr">
        <is>
          <t>LAHOLM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46239</v>
      </c>
      <c r="F116" t="inlineStr">
        <is>
          <t>HALLANDS LÄN</t>
        </is>
      </c>
      <c r="G116" t="inlineStr">
        <is>
          <t>LAHOLM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46239</v>
      </c>
      <c r="F117" t="inlineStr">
        <is>
          <t>HALLANDS LÄN</t>
        </is>
      </c>
      <c r="G117" t="inlineStr">
        <is>
          <t>LAHOLM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45842</v>
      </c>
      <c r="E118" s="1" t="n">
        <v>46239</v>
      </c>
      <c r="F118" t="inlineStr">
        <is>
          <t>HALLANDS LÄN</t>
        </is>
      </c>
      <c r="G118" t="inlineStr">
        <is>
          <t>LAHOLM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45299</v>
      </c>
      <c r="E119" s="1" t="n">
        <v>46239</v>
      </c>
      <c r="F119" t="inlineStr">
        <is>
          <t>HALLANDS LÄN</t>
        </is>
      </c>
      <c r="G119" t="inlineStr">
        <is>
          <t>LAHOLM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45843</v>
      </c>
      <c r="E120" s="1" t="n">
        <v>46239</v>
      </c>
      <c r="F120" t="inlineStr">
        <is>
          <t>HALLANDS LÄN</t>
        </is>
      </c>
      <c r="G120" t="inlineStr">
        <is>
          <t>LAHOLM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45282</v>
      </c>
      <c r="E121" s="1" t="n">
        <v>46239</v>
      </c>
      <c r="F121" t="inlineStr">
        <is>
          <t>HALLANDS LÄN</t>
        </is>
      </c>
      <c r="G121" t="inlineStr">
        <is>
          <t>LAHOLM</t>
        </is>
      </c>
      <c r="H121" t="inlineStr">
        <is>
          <t>Övriga Aktiebolag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46239</v>
      </c>
      <c r="F122" t="inlineStr">
        <is>
          <t>HALLANDS LÄN</t>
        </is>
      </c>
      <c r="G122" t="inlineStr">
        <is>
          <t>LAHOLM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46239</v>
      </c>
      <c r="F123" t="inlineStr">
        <is>
          <t>HALLANDS LÄN</t>
        </is>
      </c>
      <c r="G123" t="inlineStr">
        <is>
          <t>LAHOLM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45849</v>
      </c>
      <c r="E124" s="1" t="n">
        <v>46239</v>
      </c>
      <c r="F124" t="inlineStr">
        <is>
          <t>HALLANDS LÄN</t>
        </is>
      </c>
      <c r="G124" t="inlineStr">
        <is>
          <t>LAHOLM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34817-2025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45849</v>
      </c>
      <c r="E125" s="1" t="n">
        <v>46239</v>
      </c>
      <c r="F125" t="inlineStr">
        <is>
          <t>HALLANDS LÄN</t>
        </is>
      </c>
      <c r="G125" t="inlineStr">
        <is>
          <t>LAHOLM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45849</v>
      </c>
      <c r="E126" s="1" t="n">
        <v>46239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46239</v>
      </c>
      <c r="F127" t="inlineStr">
        <is>
          <t>HALLANDS LÄN</t>
        </is>
      </c>
      <c r="G127" t="inlineStr">
        <is>
          <t>LAHOLM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46239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44467</v>
      </c>
      <c r="E129" s="1" t="n">
        <v>46239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46239</v>
      </c>
      <c r="F130" t="inlineStr">
        <is>
          <t>HALLANDS LÄN</t>
        </is>
      </c>
      <c r="G130" t="inlineStr">
        <is>
          <t>LAHOLM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44831</v>
      </c>
      <c r="E131" s="1" t="n">
        <v>46239</v>
      </c>
      <c r="F131" t="inlineStr">
        <is>
          <t>HALLANDS LÄN</t>
        </is>
      </c>
      <c r="G131" t="inlineStr">
        <is>
          <t>LAHOLM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46239</v>
      </c>
      <c r="F132" t="inlineStr">
        <is>
          <t>HALLANDS LÄN</t>
        </is>
      </c>
      <c r="G132" t="inlineStr">
        <is>
          <t>LAHOLM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8891-2024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46239</v>
      </c>
      <c r="F133" t="inlineStr">
        <is>
          <t>HALLANDS LÄN</t>
        </is>
      </c>
      <c r="G133" t="inlineStr">
        <is>
          <t>LAHOLM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61711-2021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46239</v>
      </c>
      <c r="F134" t="inlineStr">
        <is>
          <t>HALLANDS LÄN</t>
        </is>
      </c>
      <c r="G134" t="inlineStr">
        <is>
          <t>LAHOLM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25478-2025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45802</v>
      </c>
      <c r="E135" s="1" t="n">
        <v>46239</v>
      </c>
      <c r="F135" t="inlineStr">
        <is>
          <t>HALLANDS LÄN</t>
        </is>
      </c>
      <c r="G135" t="inlineStr">
        <is>
          <t>LAHOLM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46239</v>
      </c>
      <c r="F136" t="inlineStr">
        <is>
          <t>HALLANDS LÄN</t>
        </is>
      </c>
      <c r="G136" t="inlineStr">
        <is>
          <t>LAHOLM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46239</v>
      </c>
      <c r="F137" t="inlineStr">
        <is>
          <t>HALLANDS LÄN</t>
        </is>
      </c>
      <c r="G137" t="inlineStr">
        <is>
          <t>LAHOLM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46239</v>
      </c>
      <c r="F138" t="inlineStr">
        <is>
          <t>HALLANDS LÄN</t>
        </is>
      </c>
      <c r="G138" t="inlineStr">
        <is>
          <t>LAHOLM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46239</v>
      </c>
      <c r="F139" t="inlineStr">
        <is>
          <t>HALLANDS LÄN</t>
        </is>
      </c>
      <c r="G139" t="inlineStr">
        <is>
          <t>LAHOLM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46239</v>
      </c>
      <c r="F140" t="inlineStr">
        <is>
          <t>HALLANDS LÄN</t>
        </is>
      </c>
      <c r="G140" t="inlineStr">
        <is>
          <t>LAHOLM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46239</v>
      </c>
      <c r="F141" t="inlineStr">
        <is>
          <t>HALLANDS LÄN</t>
        </is>
      </c>
      <c r="G141" t="inlineStr">
        <is>
          <t>LAHOLM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45089</v>
      </c>
      <c r="E142" s="1" t="n">
        <v>46239</v>
      </c>
      <c r="F142" t="inlineStr">
        <is>
          <t>HALLANDS LÄN</t>
        </is>
      </c>
      <c r="G142" t="inlineStr">
        <is>
          <t>LAHOLM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46239</v>
      </c>
      <c r="F143" t="inlineStr">
        <is>
          <t>HALLANDS LÄN</t>
        </is>
      </c>
      <c r="G143" t="inlineStr">
        <is>
          <t>LAHOLM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46239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45156</v>
      </c>
      <c r="E145" s="1" t="n">
        <v>46239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46239</v>
      </c>
      <c r="F146" t="inlineStr">
        <is>
          <t>HALLANDS LÄN</t>
        </is>
      </c>
      <c r="G146" t="inlineStr">
        <is>
          <t>LAHOLM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65916-2021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46239</v>
      </c>
      <c r="F147" t="inlineStr">
        <is>
          <t>HALLANDS LÄN</t>
        </is>
      </c>
      <c r="G147" t="inlineStr">
        <is>
          <t>LAHOLM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46239</v>
      </c>
      <c r="F148" t="inlineStr">
        <is>
          <t>HALLANDS LÄN</t>
        </is>
      </c>
      <c r="G148" t="inlineStr">
        <is>
          <t>LAHOLM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46239</v>
      </c>
      <c r="F149" t="inlineStr">
        <is>
          <t>HALLANDS LÄN</t>
        </is>
      </c>
      <c r="G149" t="inlineStr">
        <is>
          <t>LAHOLM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46239</v>
      </c>
      <c r="F150" t="inlineStr">
        <is>
          <t>HALLANDS LÄN</t>
        </is>
      </c>
      <c r="G150" t="inlineStr">
        <is>
          <t>LAHOLM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46239</v>
      </c>
      <c r="F151" t="inlineStr">
        <is>
          <t>HALLANDS LÄN</t>
        </is>
      </c>
      <c r="G151" t="inlineStr">
        <is>
          <t>LAHOLM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46239</v>
      </c>
      <c r="F152" t="inlineStr">
        <is>
          <t>HALLANDS LÄN</t>
        </is>
      </c>
      <c r="G152" t="inlineStr">
        <is>
          <t>LAHOLM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39903-2023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45168</v>
      </c>
      <c r="E153" s="1" t="n">
        <v>46239</v>
      </c>
      <c r="F153" t="inlineStr">
        <is>
          <t>HALLANDS LÄN</t>
        </is>
      </c>
      <c r="G153" t="inlineStr">
        <is>
          <t>LAHOLM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45751</v>
      </c>
      <c r="E154" s="1" t="n">
        <v>46239</v>
      </c>
      <c r="F154" t="inlineStr">
        <is>
          <t>HALLANDS LÄN</t>
        </is>
      </c>
      <c r="G154" t="inlineStr">
        <is>
          <t>LAHOLM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46239</v>
      </c>
      <c r="F155" t="inlineStr">
        <is>
          <t>HALLANDS LÄN</t>
        </is>
      </c>
      <c r="G155" t="inlineStr">
        <is>
          <t>LAHOLM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46239</v>
      </c>
      <c r="F156" t="inlineStr">
        <is>
          <t>HALLANDS LÄN</t>
        </is>
      </c>
      <c r="G156" t="inlineStr">
        <is>
          <t>LAHOLM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46239</v>
      </c>
      <c r="F157" t="inlineStr">
        <is>
          <t>HALLANDS LÄN</t>
        </is>
      </c>
      <c r="G157" t="inlineStr">
        <is>
          <t>LAHOLM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45792</v>
      </c>
      <c r="E158" s="1" t="n">
        <v>46239</v>
      </c>
      <c r="F158" t="inlineStr">
        <is>
          <t>HALLANDS LÄN</t>
        </is>
      </c>
      <c r="G158" t="inlineStr">
        <is>
          <t>LAHOLM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46239</v>
      </c>
      <c r="F159" t="inlineStr">
        <is>
          <t>HALLANDS LÄN</t>
        </is>
      </c>
      <c r="G159" t="inlineStr">
        <is>
          <t>LAHOLM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46239</v>
      </c>
      <c r="F160" t="inlineStr">
        <is>
          <t>HALLANDS LÄN</t>
        </is>
      </c>
      <c r="G160" t="inlineStr">
        <is>
          <t>LAHOLM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46239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46239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46239</v>
      </c>
      <c r="F163" t="inlineStr">
        <is>
          <t>HALLANDS LÄN</t>
        </is>
      </c>
      <c r="G163" t="inlineStr">
        <is>
          <t>LAHOLM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44442</v>
      </c>
      <c r="E164" s="1" t="n">
        <v>46239</v>
      </c>
      <c r="F164" t="inlineStr">
        <is>
          <t>HALLANDS LÄN</t>
        </is>
      </c>
      <c r="G164" t="inlineStr">
        <is>
          <t>LAHOLM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44483</v>
      </c>
      <c r="E165" s="1" t="n">
        <v>46239</v>
      </c>
      <c r="F165" t="inlineStr">
        <is>
          <t>HALLANDS LÄN</t>
        </is>
      </c>
      <c r="G165" t="inlineStr">
        <is>
          <t>LAHOLM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73894-2021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44553</v>
      </c>
      <c r="E166" s="1" t="n">
        <v>46239</v>
      </c>
      <c r="F166" t="inlineStr">
        <is>
          <t>HALLANDS LÄN</t>
        </is>
      </c>
      <c r="G166" t="inlineStr">
        <is>
          <t>LAHOLM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46239</v>
      </c>
      <c r="F167" t="inlineStr">
        <is>
          <t>HALLANDS LÄN</t>
        </is>
      </c>
      <c r="G167" t="inlineStr">
        <is>
          <t>LAHOLM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45554</v>
      </c>
      <c r="E168" s="1" t="n">
        <v>46239</v>
      </c>
      <c r="F168" t="inlineStr">
        <is>
          <t>HALLANDS LÄN</t>
        </is>
      </c>
      <c r="G168" t="inlineStr">
        <is>
          <t>LAHOLM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46239</v>
      </c>
      <c r="F169" t="inlineStr">
        <is>
          <t>HALLANDS LÄN</t>
        </is>
      </c>
      <c r="G169" t="inlineStr">
        <is>
          <t>LAHOLM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46239</v>
      </c>
      <c r="F170" t="inlineStr">
        <is>
          <t>HALLANDS LÄN</t>
        </is>
      </c>
      <c r="G170" t="inlineStr">
        <is>
          <t>LAHOLM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46239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46239</v>
      </c>
      <c r="F172" t="inlineStr">
        <is>
          <t>HALLANDS LÄN</t>
        </is>
      </c>
      <c r="G172" t="inlineStr">
        <is>
          <t>LAHOLM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45730</v>
      </c>
      <c r="E173" s="1" t="n">
        <v>46239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46239</v>
      </c>
      <c r="F174" t="inlineStr">
        <is>
          <t>HALLANDS LÄN</t>
        </is>
      </c>
      <c r="G174" t="inlineStr">
        <is>
          <t>LAHOLM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45635</v>
      </c>
      <c r="E175" s="1" t="n">
        <v>46239</v>
      </c>
      <c r="F175" t="inlineStr">
        <is>
          <t>HALLANDS LÄN</t>
        </is>
      </c>
      <c r="G175" t="inlineStr">
        <is>
          <t>LAHOLM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44726</v>
      </c>
      <c r="E176" s="1" t="n">
        <v>46239</v>
      </c>
      <c r="F176" t="inlineStr">
        <is>
          <t>HALLANDS LÄN</t>
        </is>
      </c>
      <c r="G176" t="inlineStr">
        <is>
          <t>LAHOLM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24395-2022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44726</v>
      </c>
      <c r="E177" s="1" t="n">
        <v>46239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46239</v>
      </c>
      <c r="F178" t="inlineStr">
        <is>
          <t>HALLANDS LÄN</t>
        </is>
      </c>
      <c r="G178" t="inlineStr">
        <is>
          <t>LAHOLM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40465-2024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45555</v>
      </c>
      <c r="E179" s="1" t="n">
        <v>46239</v>
      </c>
      <c r="F179" t="inlineStr">
        <is>
          <t>HALLANDS LÄN</t>
        </is>
      </c>
      <c r="G179" t="inlineStr">
        <is>
          <t>LAHOLM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63674-2023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45275</v>
      </c>
      <c r="E180" s="1" t="n">
        <v>46239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46239</v>
      </c>
      <c r="F181" t="inlineStr">
        <is>
          <t>HALLANDS LÄN</t>
        </is>
      </c>
      <c r="G181" t="inlineStr">
        <is>
          <t>LAHOLM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44977</v>
      </c>
      <c r="E182" s="1" t="n">
        <v>46239</v>
      </c>
      <c r="F182" t="inlineStr">
        <is>
          <t>HALLANDS LÄN</t>
        </is>
      </c>
      <c r="G182" t="inlineStr">
        <is>
          <t>LAHOLM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46239</v>
      </c>
      <c r="F183" t="inlineStr">
        <is>
          <t>HALLANDS LÄN</t>
        </is>
      </c>
      <c r="G183" t="inlineStr">
        <is>
          <t>LAHOLM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46239</v>
      </c>
      <c r="F184" t="inlineStr">
        <is>
          <t>HALLANDS LÄN</t>
        </is>
      </c>
      <c r="G184" t="inlineStr">
        <is>
          <t>LAHOLM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46239</v>
      </c>
      <c r="F185" t="inlineStr">
        <is>
          <t>HALLANDS LÄN</t>
        </is>
      </c>
      <c r="G185" t="inlineStr">
        <is>
          <t>LAHOLM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45275</v>
      </c>
      <c r="E186" s="1" t="n">
        <v>46239</v>
      </c>
      <c r="F186" t="inlineStr">
        <is>
          <t>HALLANDS LÄN</t>
        </is>
      </c>
      <c r="G186" t="inlineStr">
        <is>
          <t>LAHOLM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46239</v>
      </c>
      <c r="F187" t="inlineStr">
        <is>
          <t>HALLANDS LÄN</t>
        </is>
      </c>
      <c r="G187" t="inlineStr">
        <is>
          <t>LAHOLM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46239</v>
      </c>
      <c r="F188" t="inlineStr">
        <is>
          <t>HALLANDS LÄN</t>
        </is>
      </c>
      <c r="G188" t="inlineStr">
        <is>
          <t>LAHOLM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46239</v>
      </c>
      <c r="F189" t="inlineStr">
        <is>
          <t>HALLANDS LÄN</t>
        </is>
      </c>
      <c r="G189" t="inlineStr">
        <is>
          <t>LAHOLM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45658</v>
      </c>
      <c r="E190" s="1" t="n">
        <v>46239</v>
      </c>
      <c r="F190" t="inlineStr">
        <is>
          <t>HALLANDS LÄN</t>
        </is>
      </c>
      <c r="G190" t="inlineStr">
        <is>
          <t>LAHOLM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46239</v>
      </c>
      <c r="F191" t="inlineStr">
        <is>
          <t>HALLANDS LÄN</t>
        </is>
      </c>
      <c r="G191" t="inlineStr">
        <is>
          <t>LAHOLM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45239</v>
      </c>
      <c r="E192" s="1" t="n">
        <v>46239</v>
      </c>
      <c r="F192" t="inlineStr">
        <is>
          <t>HALLANDS LÄN</t>
        </is>
      </c>
      <c r="G192" t="inlineStr">
        <is>
          <t>LAHOLM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46239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46239</v>
      </c>
      <c r="F194" t="inlineStr">
        <is>
          <t>HALLANDS LÄN</t>
        </is>
      </c>
      <c r="G194" t="inlineStr">
        <is>
          <t>LAHOLM</t>
        </is>
      </c>
      <c r="H194" t="inlineStr">
        <is>
          <t>Kommuner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45440</v>
      </c>
      <c r="E195" s="1" t="n">
        <v>46239</v>
      </c>
      <c r="F195" t="inlineStr">
        <is>
          <t>HALLANDS LÄN</t>
        </is>
      </c>
      <c r="G195" t="inlineStr">
        <is>
          <t>LAHOLM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46239</v>
      </c>
      <c r="F196" t="inlineStr">
        <is>
          <t>HALLANDS LÄN</t>
        </is>
      </c>
      <c r="G196" t="inlineStr">
        <is>
          <t>LAHOLM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44869</v>
      </c>
      <c r="E197" s="1" t="n">
        <v>46239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44869</v>
      </c>
      <c r="E198" s="1" t="n">
        <v>46239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46239</v>
      </c>
      <c r="F199" t="inlineStr">
        <is>
          <t>HALLANDS LÄN</t>
        </is>
      </c>
      <c r="G199" t="inlineStr">
        <is>
          <t>LAHOLM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44922</v>
      </c>
      <c r="E200" s="1" t="n">
        <v>46239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46239</v>
      </c>
      <c r="F201" t="inlineStr">
        <is>
          <t>HALLANDS LÄN</t>
        </is>
      </c>
      <c r="G201" t="inlineStr">
        <is>
          <t>LAHOLM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46239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46239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46239</v>
      </c>
      <c r="F204" t="inlineStr">
        <is>
          <t>HALLANDS LÄN</t>
        </is>
      </c>
      <c r="G204" t="inlineStr">
        <is>
          <t>LAHOLM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46239</v>
      </c>
      <c r="F205" t="inlineStr">
        <is>
          <t>HALLANDS LÄN</t>
        </is>
      </c>
      <c r="G205" t="inlineStr">
        <is>
          <t>LAHOLM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46239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64566-2021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44511</v>
      </c>
      <c r="E207" s="1" t="n">
        <v>46239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64575-2021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44511</v>
      </c>
      <c r="E208" s="1" t="n">
        <v>46239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44469</v>
      </c>
      <c r="E209" s="1" t="n">
        <v>46239</v>
      </c>
      <c r="F209" t="inlineStr">
        <is>
          <t>HALLANDS LÄN</t>
        </is>
      </c>
      <c r="G209" t="inlineStr">
        <is>
          <t>LAHOLM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46239</v>
      </c>
      <c r="F210" t="inlineStr">
        <is>
          <t>HALLANDS LÄN</t>
        </is>
      </c>
      <c r="G210" t="inlineStr">
        <is>
          <t>LAHOLM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44909</v>
      </c>
      <c r="E211" s="1" t="n">
        <v>46239</v>
      </c>
      <c r="F211" t="inlineStr">
        <is>
          <t>HALLANDS LÄN</t>
        </is>
      </c>
      <c r="G211" t="inlineStr">
        <is>
          <t>LAHOLM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46239</v>
      </c>
      <c r="F212" t="inlineStr">
        <is>
          <t>HALLANDS LÄN</t>
        </is>
      </c>
      <c r="G212" t="inlineStr">
        <is>
          <t>LAHOLM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46239</v>
      </c>
      <c r="F213" t="inlineStr">
        <is>
          <t>HALLANDS LÄN</t>
        </is>
      </c>
      <c r="G213" t="inlineStr">
        <is>
          <t>LAHOLM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46239</v>
      </c>
      <c r="F214" t="inlineStr">
        <is>
          <t>HALLANDS LÄN</t>
        </is>
      </c>
      <c r="G214" t="inlineStr">
        <is>
          <t>LAHOLM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45057</v>
      </c>
      <c r="E215" s="1" t="n">
        <v>46239</v>
      </c>
      <c r="F215" t="inlineStr">
        <is>
          <t>HALLANDS LÄN</t>
        </is>
      </c>
      <c r="G215" t="inlineStr">
        <is>
          <t>LAHOLM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44855</v>
      </c>
      <c r="E216" s="1" t="n">
        <v>46239</v>
      </c>
      <c r="F216" t="inlineStr">
        <is>
          <t>HALLANDS LÄN</t>
        </is>
      </c>
      <c r="G216" t="inlineStr">
        <is>
          <t>LAHOLM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46239</v>
      </c>
      <c r="F217" t="inlineStr">
        <is>
          <t>HALLANDS LÄN</t>
        </is>
      </c>
      <c r="G217" t="inlineStr">
        <is>
          <t>LAHOLM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46239</v>
      </c>
      <c r="F218" t="inlineStr">
        <is>
          <t>HALLANDS LÄN</t>
        </is>
      </c>
      <c r="G218" t="inlineStr">
        <is>
          <t>LAHOLM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46239</v>
      </c>
      <c r="F219" t="inlineStr">
        <is>
          <t>HALLANDS LÄN</t>
        </is>
      </c>
      <c r="G219" t="inlineStr">
        <is>
          <t>LAHOLM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46239</v>
      </c>
      <c r="F220" t="inlineStr">
        <is>
          <t>HALLANDS LÄN</t>
        </is>
      </c>
      <c r="G220" t="inlineStr">
        <is>
          <t>LAHOLM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46239</v>
      </c>
      <c r="F221" t="inlineStr">
        <is>
          <t>HALLANDS LÄN</t>
        </is>
      </c>
      <c r="G221" t="inlineStr">
        <is>
          <t>LAHOLM</t>
        </is>
      </c>
      <c r="H221" t="inlineStr">
        <is>
          <t>Kommuner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53127-2021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44467</v>
      </c>
      <c r="E222" s="1" t="n">
        <v>46239</v>
      </c>
      <c r="F222" t="inlineStr">
        <is>
          <t>HALLANDS LÄN</t>
        </is>
      </c>
      <c r="G222" t="inlineStr">
        <is>
          <t>LAHOLM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46239</v>
      </c>
      <c r="F223" t="inlineStr">
        <is>
          <t>HALLANDS LÄN</t>
        </is>
      </c>
      <c r="G223" t="inlineStr">
        <is>
          <t>LAHOLM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44883</v>
      </c>
      <c r="E224" s="1" t="n">
        <v>46239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46239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46239</v>
      </c>
      <c r="F226" t="inlineStr">
        <is>
          <t>HALLANDS LÄN</t>
        </is>
      </c>
      <c r="G226" t="inlineStr">
        <is>
          <t>LAHOLM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46239</v>
      </c>
      <c r="F227" t="inlineStr">
        <is>
          <t>HALLANDS LÄN</t>
        </is>
      </c>
      <c r="G227" t="inlineStr">
        <is>
          <t>LAHOLM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46239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60021-2022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46239</v>
      </c>
      <c r="F229" t="inlineStr">
        <is>
          <t>HALLANDS LÄN</t>
        </is>
      </c>
      <c r="G229" t="inlineStr">
        <is>
          <t>LAHOLM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46239</v>
      </c>
      <c r="F230" t="inlineStr">
        <is>
          <t>HALLANDS LÄN</t>
        </is>
      </c>
      <c r="G230" t="inlineStr">
        <is>
          <t>LAHOLM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44639</v>
      </c>
      <c r="E231" s="1" t="n">
        <v>46239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46239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46239</v>
      </c>
      <c r="F233" t="inlineStr">
        <is>
          <t>HALLANDS LÄN</t>
        </is>
      </c>
      <c r="G233" t="inlineStr">
        <is>
          <t>LAHOLM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61785-2021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46239</v>
      </c>
      <c r="F234" t="inlineStr">
        <is>
          <t>HALLANDS LÄN</t>
        </is>
      </c>
      <c r="G234" t="inlineStr">
        <is>
          <t>LAHOLM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45519</v>
      </c>
      <c r="E235" s="1" t="n">
        <v>46239</v>
      </c>
      <c r="F235" t="inlineStr">
        <is>
          <t>HALLANDS LÄN</t>
        </is>
      </c>
      <c r="G235" t="inlineStr">
        <is>
          <t>LAHOLM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45646</v>
      </c>
      <c r="E236" s="1" t="n">
        <v>46239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44600</v>
      </c>
      <c r="E237" s="1" t="n">
        <v>46239</v>
      </c>
      <c r="F237" t="inlineStr">
        <is>
          <t>HALLANDS LÄN</t>
        </is>
      </c>
      <c r="G237" t="inlineStr">
        <is>
          <t>LAHOLM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46239</v>
      </c>
      <c r="F238" t="inlineStr">
        <is>
          <t>HALLANDS LÄN</t>
        </is>
      </c>
      <c r="G238" t="inlineStr">
        <is>
          <t>LAHOLM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45364</v>
      </c>
      <c r="E239" s="1" t="n">
        <v>46239</v>
      </c>
      <c r="F239" t="inlineStr">
        <is>
          <t>HALLANDS LÄN</t>
        </is>
      </c>
      <c r="G239" t="inlineStr">
        <is>
          <t>LAHOLM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42403-2025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46239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46239</v>
      </c>
      <c r="F241" t="inlineStr">
        <is>
          <t>HALLANDS LÄN</t>
        </is>
      </c>
      <c r="G241" t="inlineStr">
        <is>
          <t>LAHOLM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46239</v>
      </c>
      <c r="F242" t="inlineStr">
        <is>
          <t>HALLANDS LÄN</t>
        </is>
      </c>
      <c r="G242" t="inlineStr">
        <is>
          <t>LAHOLM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46239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45664</v>
      </c>
      <c r="E244" s="1" t="n">
        <v>46239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46239</v>
      </c>
      <c r="F245" t="inlineStr">
        <is>
          <t>HALLANDS LÄN</t>
        </is>
      </c>
      <c r="G245" t="inlineStr">
        <is>
          <t>LAHOLM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46239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46239</v>
      </c>
      <c r="F247" t="inlineStr">
        <is>
          <t>HALLANDS LÄN</t>
        </is>
      </c>
      <c r="G247" t="inlineStr">
        <is>
          <t>LAHOLM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46239</v>
      </c>
      <c r="F248" t="inlineStr">
        <is>
          <t>HALLANDS LÄN</t>
        </is>
      </c>
      <c r="G248" t="inlineStr">
        <is>
          <t>LAHOLM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46239</v>
      </c>
      <c r="F249" t="inlineStr">
        <is>
          <t>HALLANDS LÄN</t>
        </is>
      </c>
      <c r="G249" t="inlineStr">
        <is>
          <t>LAHOLM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45918</v>
      </c>
      <c r="E250" s="1" t="n">
        <v>46239</v>
      </c>
      <c r="F250" t="inlineStr">
        <is>
          <t>HALLANDS LÄN</t>
        </is>
      </c>
      <c r="G250" t="inlineStr">
        <is>
          <t>LAHOLM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46239</v>
      </c>
      <c r="F251" t="inlineStr">
        <is>
          <t>HALLANDS LÄN</t>
        </is>
      </c>
      <c r="G251" t="inlineStr">
        <is>
          <t>LAHOLM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45303</v>
      </c>
      <c r="E252" s="1" t="n">
        <v>46239</v>
      </c>
      <c r="F252" t="inlineStr">
        <is>
          <t>HALLANDS LÄN</t>
        </is>
      </c>
      <c r="G252" t="inlineStr">
        <is>
          <t>LAHOLM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46239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46239</v>
      </c>
      <c r="F254" t="inlineStr">
        <is>
          <t>HALLANDS LÄN</t>
        </is>
      </c>
      <c r="G254" t="inlineStr">
        <is>
          <t>LAHOLM</t>
        </is>
      </c>
      <c r="H254" t="inlineStr">
        <is>
          <t>Kommuner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45040</v>
      </c>
      <c r="E255" s="1" t="n">
        <v>46239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44572</v>
      </c>
      <c r="E256" s="1" t="n">
        <v>46239</v>
      </c>
      <c r="F256" t="inlineStr">
        <is>
          <t>HALLANDS LÄN</t>
        </is>
      </c>
      <c r="G256" t="inlineStr">
        <is>
          <t>LAHOLM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46239</v>
      </c>
      <c r="F257" t="inlineStr">
        <is>
          <t>HALLANDS LÄN</t>
        </is>
      </c>
      <c r="G257" t="inlineStr">
        <is>
          <t>LAHOLM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45617</v>
      </c>
      <c r="E258" s="1" t="n">
        <v>46239</v>
      </c>
      <c r="F258" t="inlineStr">
        <is>
          <t>HALLANDS LÄN</t>
        </is>
      </c>
      <c r="G258" t="inlineStr">
        <is>
          <t>LAHOLM</t>
        </is>
      </c>
      <c r="H258" t="inlineStr">
        <is>
          <t>Sveaskog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45589</v>
      </c>
      <c r="E259" s="1" t="n">
        <v>46239</v>
      </c>
      <c r="F259" t="inlineStr">
        <is>
          <t>HALLANDS LÄN</t>
        </is>
      </c>
      <c r="G259" t="inlineStr">
        <is>
          <t>LAHOLM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46239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44677</v>
      </c>
      <c r="E261" s="1" t="n">
        <v>46239</v>
      </c>
      <c r="F261" t="inlineStr">
        <is>
          <t>HALLANDS LÄN</t>
        </is>
      </c>
      <c r="G261" t="inlineStr">
        <is>
          <t>LAHOLM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45130</v>
      </c>
      <c r="E262" s="1" t="n">
        <v>46239</v>
      </c>
      <c r="F262" t="inlineStr">
        <is>
          <t>HALLANDS LÄN</t>
        </is>
      </c>
      <c r="G262" t="inlineStr">
        <is>
          <t>LAHOLM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45377</v>
      </c>
      <c r="E263" s="1" t="n">
        <v>46239</v>
      </c>
      <c r="F263" t="inlineStr">
        <is>
          <t>HALLANDS LÄN</t>
        </is>
      </c>
      <c r="G263" t="inlineStr">
        <is>
          <t>LAHOLM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23491-2023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46239</v>
      </c>
      <c r="F264" t="inlineStr">
        <is>
          <t>HALLANDS LÄN</t>
        </is>
      </c>
      <c r="G264" t="inlineStr">
        <is>
          <t>LAHOLM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46239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44929</v>
      </c>
      <c r="E266" s="1" t="n">
        <v>46239</v>
      </c>
      <c r="F266" t="inlineStr">
        <is>
          <t>HALLANDS LÄN</t>
        </is>
      </c>
      <c r="G266" t="inlineStr">
        <is>
          <t>LAHOLM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45075</v>
      </c>
      <c r="E267" s="1" t="n">
        <v>46239</v>
      </c>
      <c r="F267" t="inlineStr">
        <is>
          <t>HALLANDS LÄN</t>
        </is>
      </c>
      <c r="G267" t="inlineStr">
        <is>
          <t>LAHOLM</t>
        </is>
      </c>
      <c r="H267" t="inlineStr">
        <is>
          <t>Övriga Aktiebolag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45693</v>
      </c>
      <c r="E268" s="1" t="n">
        <v>46239</v>
      </c>
      <c r="F268" t="inlineStr">
        <is>
          <t>HALLANDS LÄN</t>
        </is>
      </c>
      <c r="G268" t="inlineStr">
        <is>
          <t>LAHOLM</t>
        </is>
      </c>
      <c r="H268" t="inlineStr">
        <is>
          <t>Naturvårdsverket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46239</v>
      </c>
      <c r="F269" t="inlineStr">
        <is>
          <t>HALLANDS LÄN</t>
        </is>
      </c>
      <c r="G269" t="inlineStr">
        <is>
          <t>LAHOLM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44865</v>
      </c>
      <c r="E270" s="1" t="n">
        <v>46239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45206</v>
      </c>
      <c r="E271" s="1" t="n">
        <v>46239</v>
      </c>
      <c r="F271" t="inlineStr">
        <is>
          <t>HALLANDS LÄN</t>
        </is>
      </c>
      <c r="G271" t="inlineStr">
        <is>
          <t>LAHOLM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46239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46151</v>
      </c>
      <c r="E273" s="1" t="n">
        <v>46239</v>
      </c>
      <c r="F273" t="inlineStr">
        <is>
          <t>HALLANDS LÄN</t>
        </is>
      </c>
      <c r="G273" t="inlineStr">
        <is>
          <t>LAHOLM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45349</v>
      </c>
      <c r="E274" s="1" t="n">
        <v>46239</v>
      </c>
      <c r="F274" t="inlineStr">
        <is>
          <t>HALLANDS LÄN</t>
        </is>
      </c>
      <c r="G274" t="inlineStr">
        <is>
          <t>LAHOLM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46239</v>
      </c>
      <c r="F275" t="inlineStr">
        <is>
          <t>HALLANDS LÄN</t>
        </is>
      </c>
      <c r="G275" t="inlineStr">
        <is>
          <t>LAHOLM</t>
        </is>
      </c>
      <c r="I275" t="n">
        <v>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46239</v>
      </c>
      <c r="F276" t="inlineStr">
        <is>
          <t>HALLANDS LÄN</t>
        </is>
      </c>
      <c r="G276" t="inlineStr">
        <is>
          <t>LAHOLM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46239</v>
      </c>
      <c r="F277" t="inlineStr">
        <is>
          <t>HALLANDS LÄN</t>
        </is>
      </c>
      <c r="G277" t="inlineStr">
        <is>
          <t>LAHOLM</t>
        </is>
      </c>
      <c r="H277" t="inlineStr">
        <is>
          <t>Kommuner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46239</v>
      </c>
      <c r="F278" t="inlineStr">
        <is>
          <t>HALLANDS LÄN</t>
        </is>
      </c>
      <c r="G278" t="inlineStr">
        <is>
          <t>LAHOLM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46239</v>
      </c>
      <c r="F279" t="inlineStr">
        <is>
          <t>HALLANDS LÄN</t>
        </is>
      </c>
      <c r="G279" t="inlineStr">
        <is>
          <t>LAHOLM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45732-2022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44846</v>
      </c>
      <c r="E280" s="1" t="n">
        <v>46239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46239</v>
      </c>
      <c r="F281" t="inlineStr">
        <is>
          <t>HALLANDS LÄN</t>
        </is>
      </c>
      <c r="G281" t="inlineStr">
        <is>
          <t>LAHOLM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46239</v>
      </c>
      <c r="F282" t="inlineStr">
        <is>
          <t>HALLANDS LÄN</t>
        </is>
      </c>
      <c r="G282" t="inlineStr">
        <is>
          <t>LAHOLM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45538</v>
      </c>
      <c r="E283" s="1" t="n">
        <v>46239</v>
      </c>
      <c r="F283" t="inlineStr">
        <is>
          <t>HALLANDS LÄN</t>
        </is>
      </c>
      <c r="G283" t="inlineStr">
        <is>
          <t>LAHOLM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45695</v>
      </c>
      <c r="E284" s="1" t="n">
        <v>46239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63283-2023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46239</v>
      </c>
      <c r="F285" t="inlineStr">
        <is>
          <t>HALLANDS LÄN</t>
        </is>
      </c>
      <c r="G285" t="inlineStr">
        <is>
          <t>LAHOLM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46239</v>
      </c>
      <c r="F286" t="inlineStr">
        <is>
          <t>HALLANDS LÄN</t>
        </is>
      </c>
      <c r="G286" t="inlineStr">
        <is>
          <t>LAHOLM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46239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12661-2023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46239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46239</v>
      </c>
      <c r="F289" t="inlineStr">
        <is>
          <t>HALLANDS LÄN</t>
        </is>
      </c>
      <c r="G289" t="inlineStr">
        <is>
          <t>LAHOLM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46239</v>
      </c>
      <c r="F290" t="inlineStr">
        <is>
          <t>HALLANDS LÄN</t>
        </is>
      </c>
      <c r="G290" t="inlineStr">
        <is>
          <t>LAHOLM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46239</v>
      </c>
      <c r="F291" t="inlineStr">
        <is>
          <t>HALLANDS LÄN</t>
        </is>
      </c>
      <c r="G291" t="inlineStr">
        <is>
          <t>LAHOLM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46239</v>
      </c>
      <c r="F292" t="inlineStr">
        <is>
          <t>HALLANDS LÄN</t>
        </is>
      </c>
      <c r="G292" t="inlineStr">
        <is>
          <t>LAHOLM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46239</v>
      </c>
      <c r="F293" t="inlineStr">
        <is>
          <t>HALLANDS LÄN</t>
        </is>
      </c>
      <c r="G293" t="inlineStr">
        <is>
          <t>LAHOLM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46239</v>
      </c>
      <c r="F294" t="inlineStr">
        <is>
          <t>HALLANDS LÄN</t>
        </is>
      </c>
      <c r="G294" t="inlineStr">
        <is>
          <t>LAHOLM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46239</v>
      </c>
      <c r="F295" t="inlineStr">
        <is>
          <t>HALLANDS LÄN</t>
        </is>
      </c>
      <c r="G295" t="inlineStr">
        <is>
          <t>LAHOLM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56100-2025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46239</v>
      </c>
      <c r="F296" t="inlineStr">
        <is>
          <t>HALLANDS LÄN</t>
        </is>
      </c>
      <c r="G296" t="inlineStr">
        <is>
          <t>LAHOLM</t>
        </is>
      </c>
      <c r="H296" t="inlineStr">
        <is>
          <t>Övriga statliga verk och myndigheter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46239</v>
      </c>
      <c r="F297" t="inlineStr">
        <is>
          <t>HALLANDS LÄN</t>
        </is>
      </c>
      <c r="G297" t="inlineStr">
        <is>
          <t>LAHOLM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46206</v>
      </c>
      <c r="E298" s="1" t="n">
        <v>46239</v>
      </c>
      <c r="F298" t="inlineStr">
        <is>
          <t>HALLANDS LÄN</t>
        </is>
      </c>
      <c r="G298" t="inlineStr">
        <is>
          <t>LAHOLM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46239</v>
      </c>
      <c r="F299" t="inlineStr">
        <is>
          <t>HALLANDS LÄN</t>
        </is>
      </c>
      <c r="G299" t="inlineStr">
        <is>
          <t>LAHOLM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46239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46239</v>
      </c>
      <c r="F301" t="inlineStr">
        <is>
          <t>HALLANDS LÄN</t>
        </is>
      </c>
      <c r="G301" t="inlineStr">
        <is>
          <t>LAHOLM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46239</v>
      </c>
      <c r="F302" t="inlineStr">
        <is>
          <t>HALLANDS LÄN</t>
        </is>
      </c>
      <c r="G302" t="inlineStr">
        <is>
          <t>LAHOLM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45006</v>
      </c>
      <c r="E303" s="1" t="n">
        <v>46239</v>
      </c>
      <c r="F303" t="inlineStr">
        <is>
          <t>HALLANDS LÄN</t>
        </is>
      </c>
      <c r="G303" t="inlineStr">
        <is>
          <t>LAHOLM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46239</v>
      </c>
      <c r="F304" t="inlineStr">
        <is>
          <t>HALLANDS LÄN</t>
        </is>
      </c>
      <c r="G304" t="inlineStr">
        <is>
          <t>LAHOLM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46239</v>
      </c>
      <c r="F305" t="inlineStr">
        <is>
          <t>HALLANDS LÄN</t>
        </is>
      </c>
      <c r="G305" t="inlineStr">
        <is>
          <t>LAHOLM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46239</v>
      </c>
      <c r="F306" t="inlineStr">
        <is>
          <t>HALLANDS LÄN</t>
        </is>
      </c>
      <c r="G306" t="inlineStr">
        <is>
          <t>LAHOLM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45769</v>
      </c>
      <c r="E307" s="1" t="n">
        <v>46239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46239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46211</v>
      </c>
      <c r="E309" s="1" t="n">
        <v>46239</v>
      </c>
      <c r="F309" t="inlineStr">
        <is>
          <t>HALLANDS LÄN</t>
        </is>
      </c>
      <c r="G309" t="inlineStr">
        <is>
          <t>LAHOLM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46239</v>
      </c>
      <c r="F310" t="inlineStr">
        <is>
          <t>HALLANDS LÄN</t>
        </is>
      </c>
      <c r="G310" t="inlineStr">
        <is>
          <t>LAHOLM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46239</v>
      </c>
      <c r="F311" t="inlineStr">
        <is>
          <t>HALLANDS LÄN</t>
        </is>
      </c>
      <c r="G311" t="inlineStr">
        <is>
          <t>LAHOLM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46239</v>
      </c>
      <c r="F312" t="inlineStr">
        <is>
          <t>HALLANDS LÄN</t>
        </is>
      </c>
      <c r="G312" t="inlineStr">
        <is>
          <t>LAHOLM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44902</v>
      </c>
      <c r="E313" s="1" t="n">
        <v>46239</v>
      </c>
      <c r="F313" t="inlineStr">
        <is>
          <t>HALLANDS LÄN</t>
        </is>
      </c>
      <c r="G313" t="inlineStr">
        <is>
          <t>LAHOLM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46239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46239</v>
      </c>
      <c r="F315" t="inlineStr">
        <is>
          <t>HALLANDS LÄN</t>
        </is>
      </c>
      <c r="G315" t="inlineStr">
        <is>
          <t>LAHOLM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46239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46239</v>
      </c>
      <c r="F317" t="inlineStr">
        <is>
          <t>HALLANDS LÄN</t>
        </is>
      </c>
      <c r="G317" t="inlineStr">
        <is>
          <t>LAHOLM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46239</v>
      </c>
      <c r="F318" t="inlineStr">
        <is>
          <t>HALLANDS LÄN</t>
        </is>
      </c>
      <c r="G318" t="inlineStr">
        <is>
          <t>LAHOLM</t>
        </is>
      </c>
      <c r="H318" t="inlineStr">
        <is>
          <t>Sveaskog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46239</v>
      </c>
      <c r="F319" t="inlineStr">
        <is>
          <t>HALLANDS LÄN</t>
        </is>
      </c>
      <c r="G319" t="inlineStr">
        <is>
          <t>LAHOLM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46239</v>
      </c>
      <c r="F320" t="inlineStr">
        <is>
          <t>HALLANDS LÄN</t>
        </is>
      </c>
      <c r="G320" t="inlineStr">
        <is>
          <t>LAHOLM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46239</v>
      </c>
      <c r="F321" t="inlineStr">
        <is>
          <t>HALLANDS LÄN</t>
        </is>
      </c>
      <c r="G321" t="inlineStr">
        <is>
          <t>LAHOLM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46239</v>
      </c>
      <c r="F322" t="inlineStr">
        <is>
          <t>HALLANDS LÄN</t>
        </is>
      </c>
      <c r="G322" t="inlineStr">
        <is>
          <t>LAHOLM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46239</v>
      </c>
      <c r="F323" t="inlineStr">
        <is>
          <t>HALLANDS LÄN</t>
        </is>
      </c>
      <c r="G323" t="inlineStr">
        <is>
          <t>LAHOLM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44603</v>
      </c>
      <c r="E324" s="1" t="n">
        <v>46239</v>
      </c>
      <c r="F324" t="inlineStr">
        <is>
          <t>HALLANDS LÄN</t>
        </is>
      </c>
      <c r="G324" t="inlineStr">
        <is>
          <t>LAHOLM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46239</v>
      </c>
      <c r="F325" t="inlineStr">
        <is>
          <t>HALLANDS LÄN</t>
        </is>
      </c>
      <c r="G325" t="inlineStr">
        <is>
          <t>LAHOLM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46239</v>
      </c>
      <c r="F326" t="inlineStr">
        <is>
          <t>HALLANDS LÄN</t>
        </is>
      </c>
      <c r="G326" t="inlineStr">
        <is>
          <t>LAHOLM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46239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8825-2026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46239</v>
      </c>
      <c r="F328" t="inlineStr">
        <is>
          <t>HALLANDS LÄN</t>
        </is>
      </c>
      <c r="G328" t="inlineStr">
        <is>
          <t>LAHOLM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46222</v>
      </c>
      <c r="E329" s="1" t="n">
        <v>46239</v>
      </c>
      <c r="F329" t="inlineStr">
        <is>
          <t>HALLANDS LÄN</t>
        </is>
      </c>
      <c r="G329" t="inlineStr">
        <is>
          <t>LAHOLM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45474</v>
      </c>
      <c r="E330" s="1" t="n">
        <v>46239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3022-2026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46038</v>
      </c>
      <c r="E331" s="1" t="n">
        <v>46239</v>
      </c>
      <c r="F331" t="inlineStr">
        <is>
          <t>HALLANDS LÄN</t>
        </is>
      </c>
      <c r="G331" t="inlineStr">
        <is>
          <t>LAHOLM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46239</v>
      </c>
      <c r="F332" t="inlineStr">
        <is>
          <t>HALLANDS LÄN</t>
        </is>
      </c>
      <c r="G332" t="inlineStr">
        <is>
          <t>LAHOLM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46239</v>
      </c>
      <c r="F333" t="inlineStr">
        <is>
          <t>HALLANDS LÄN</t>
        </is>
      </c>
      <c r="G333" t="inlineStr">
        <is>
          <t>LAHOLM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27223-2026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46184</v>
      </c>
      <c r="E334" s="1" t="n">
        <v>46239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46239</v>
      </c>
      <c r="F335" t="inlineStr">
        <is>
          <t>HALLANDS LÄN</t>
        </is>
      </c>
      <c r="G335" t="inlineStr">
        <is>
          <t>LAHOLM</t>
        </is>
      </c>
      <c r="I335" t="n">
        <v>9.199999999999999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46239</v>
      </c>
      <c r="F336" t="inlineStr">
        <is>
          <t>HALLANDS LÄN</t>
        </is>
      </c>
      <c r="G336" t="inlineStr">
        <is>
          <t>LAHOLM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46239</v>
      </c>
      <c r="F337" t="inlineStr">
        <is>
          <t>HALLANDS LÄN</t>
        </is>
      </c>
      <c r="G337" t="inlineStr">
        <is>
          <t>LAHOLM</t>
        </is>
      </c>
      <c r="H337" t="inlineStr">
        <is>
          <t>Kyrkan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46239</v>
      </c>
      <c r="F338" t="inlineStr">
        <is>
          <t>HALLANDS LÄN</t>
        </is>
      </c>
      <c r="G338" t="inlineStr">
        <is>
          <t>LAHOLM</t>
        </is>
      </c>
      <c r="H338" t="inlineStr">
        <is>
          <t>Kyrkan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44928</v>
      </c>
      <c r="E339" s="1" t="n">
        <v>46239</v>
      </c>
      <c r="F339" t="inlineStr">
        <is>
          <t>HALLANDS LÄN</t>
        </is>
      </c>
      <c r="G339" t="inlineStr">
        <is>
          <t>LAHOLM</t>
        </is>
      </c>
      <c r="H339" t="inlineStr">
        <is>
          <t>Kommuner</t>
        </is>
      </c>
      <c r="I339" t="n">
        <v>12.2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46239</v>
      </c>
      <c r="F340" t="inlineStr">
        <is>
          <t>HALLANDS LÄN</t>
        </is>
      </c>
      <c r="G340" t="inlineStr">
        <is>
          <t>LAHOLM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46239</v>
      </c>
      <c r="F341" t="inlineStr">
        <is>
          <t>HALLANDS LÄN</t>
        </is>
      </c>
      <c r="G341" t="inlineStr">
        <is>
          <t>LAHOLM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46239</v>
      </c>
      <c r="F342" t="inlineStr">
        <is>
          <t>HALLANDS LÄN</t>
        </is>
      </c>
      <c r="G342" t="inlineStr">
        <is>
          <t>LAHOLM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46239</v>
      </c>
      <c r="F343" t="inlineStr">
        <is>
          <t>HALLANDS LÄN</t>
        </is>
      </c>
      <c r="G343" t="inlineStr">
        <is>
          <t>LAHOLM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45278</v>
      </c>
      <c r="E344" s="1" t="n">
        <v>46239</v>
      </c>
      <c r="F344" t="inlineStr">
        <is>
          <t>HALLANDS LÄN</t>
        </is>
      </c>
      <c r="G344" t="inlineStr">
        <is>
          <t>LAHOLM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46239</v>
      </c>
      <c r="F345" t="inlineStr">
        <is>
          <t>HALLANDS LÄN</t>
        </is>
      </c>
      <c r="G345" t="inlineStr">
        <is>
          <t>LAHOLM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45337</v>
      </c>
      <c r="E346" s="1" t="n">
        <v>46239</v>
      </c>
      <c r="F346" t="inlineStr">
        <is>
          <t>HALLANDS LÄN</t>
        </is>
      </c>
      <c r="G346" t="inlineStr">
        <is>
          <t>LAHOLM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46239</v>
      </c>
      <c r="F347" t="inlineStr">
        <is>
          <t>HALLANDS LÄN</t>
        </is>
      </c>
      <c r="G347" t="inlineStr">
        <is>
          <t>LAHOLM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45342</v>
      </c>
      <c r="E348" s="1" t="n">
        <v>46239</v>
      </c>
      <c r="F348" t="inlineStr">
        <is>
          <t>HALLANDS LÄN</t>
        </is>
      </c>
      <c r="G348" t="inlineStr">
        <is>
          <t>LAHOLM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46239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44949</v>
      </c>
      <c r="E350" s="1" t="n">
        <v>46239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45069</v>
      </c>
      <c r="E351" s="1" t="n">
        <v>46239</v>
      </c>
      <c r="F351" t="inlineStr">
        <is>
          <t>HALLANDS LÄN</t>
        </is>
      </c>
      <c r="G351" t="inlineStr">
        <is>
          <t>LAHOLM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46239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52168-2021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44463</v>
      </c>
      <c r="E353" s="1" t="n">
        <v>46239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45237</v>
      </c>
      <c r="E354" s="1" t="n">
        <v>46239</v>
      </c>
      <c r="F354" t="inlineStr">
        <is>
          <t>HALLANDS LÄN</t>
        </is>
      </c>
      <c r="G354" t="inlineStr">
        <is>
          <t>LAHOLM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59429-2021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44491</v>
      </c>
      <c r="E355" s="1" t="n">
        <v>46239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46078</v>
      </c>
      <c r="E356" s="1" t="n">
        <v>46239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46239</v>
      </c>
      <c r="F357" t="inlineStr">
        <is>
          <t>HALLANDS LÄN</t>
        </is>
      </c>
      <c r="G357" t="inlineStr">
        <is>
          <t>LAHOLM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46239</v>
      </c>
      <c r="F358" t="inlineStr">
        <is>
          <t>HALLANDS LÄN</t>
        </is>
      </c>
      <c r="G358" t="inlineStr">
        <is>
          <t>LAHOLM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46239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45957</v>
      </c>
      <c r="E360" s="1" t="n">
        <v>46239</v>
      </c>
      <c r="F360" t="inlineStr">
        <is>
          <t>HALLANDS LÄN</t>
        </is>
      </c>
      <c r="G360" t="inlineStr">
        <is>
          <t>LAHOLM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46239</v>
      </c>
      <c r="F361" t="inlineStr">
        <is>
          <t>HALLANDS LÄN</t>
        </is>
      </c>
      <c r="G361" t="inlineStr">
        <is>
          <t>LAHOLM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46239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46239</v>
      </c>
      <c r="F363" t="inlineStr">
        <is>
          <t>HALLANDS LÄN</t>
        </is>
      </c>
      <c r="G363" t="inlineStr">
        <is>
          <t>LAHOLM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45582</v>
      </c>
      <c r="E364" s="1" t="n">
        <v>46239</v>
      </c>
      <c r="F364" t="inlineStr">
        <is>
          <t>HALLANDS LÄN</t>
        </is>
      </c>
      <c r="G364" t="inlineStr">
        <is>
          <t>LAHOLM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46239</v>
      </c>
      <c r="F365" t="inlineStr">
        <is>
          <t>HALLANDS LÄN</t>
        </is>
      </c>
      <c r="G365" t="inlineStr">
        <is>
          <t>LAHOLM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46239</v>
      </c>
      <c r="F366" t="inlineStr">
        <is>
          <t>HALLANDS LÄN</t>
        </is>
      </c>
      <c r="G366" t="inlineStr">
        <is>
          <t>LAHOLM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46239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46239</v>
      </c>
      <c r="F368" t="inlineStr">
        <is>
          <t>HALLANDS LÄN</t>
        </is>
      </c>
      <c r="G368" t="inlineStr">
        <is>
          <t>LAHOLM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46239</v>
      </c>
      <c r="F369" t="inlineStr">
        <is>
          <t>HALLANDS LÄN</t>
        </is>
      </c>
      <c r="G369" t="inlineStr">
        <is>
          <t>LAHOLM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46239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13998-2026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46098</v>
      </c>
      <c r="E371" s="1" t="n">
        <v>46239</v>
      </c>
      <c r="F371" t="inlineStr">
        <is>
          <t>HALLANDS LÄN</t>
        </is>
      </c>
      <c r="G371" t="inlineStr">
        <is>
          <t>LAHOLM</t>
        </is>
      </c>
      <c r="H371" t="inlineStr">
        <is>
          <t>Sveaskog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46239</v>
      </c>
      <c r="F372" t="inlineStr">
        <is>
          <t>HALLANDS LÄN</t>
        </is>
      </c>
      <c r="G372" t="inlineStr">
        <is>
          <t>LAHOLM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15247-2026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46239</v>
      </c>
      <c r="F373" t="inlineStr">
        <is>
          <t>HALLANDS LÄN</t>
        </is>
      </c>
      <c r="G373" t="inlineStr">
        <is>
          <t>LAHOLM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45022</v>
      </c>
      <c r="E374" s="1" t="n">
        <v>46239</v>
      </c>
      <c r="F374" t="inlineStr">
        <is>
          <t>HALLANDS LÄN</t>
        </is>
      </c>
      <c r="G374" t="inlineStr">
        <is>
          <t>LAHOLM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67861-2021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44525</v>
      </c>
      <c r="E375" s="1" t="n">
        <v>46239</v>
      </c>
      <c r="F375" t="inlineStr">
        <is>
          <t>HALLANDS LÄN</t>
        </is>
      </c>
      <c r="G375" t="inlineStr">
        <is>
          <t>LAHOLM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46239</v>
      </c>
      <c r="F376" t="inlineStr">
        <is>
          <t>HALLANDS LÄN</t>
        </is>
      </c>
      <c r="G376" t="inlineStr">
        <is>
          <t>LAHOLM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46239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46239</v>
      </c>
      <c r="F378" t="inlineStr">
        <is>
          <t>HALLANDS LÄN</t>
        </is>
      </c>
      <c r="G378" t="inlineStr">
        <is>
          <t>LAHOLM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46239</v>
      </c>
      <c r="F379" t="inlineStr">
        <is>
          <t>HALLANDS LÄN</t>
        </is>
      </c>
      <c r="G379" t="inlineStr">
        <is>
          <t>LAHOLM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46239</v>
      </c>
      <c r="F380" t="inlineStr">
        <is>
          <t>HALLANDS LÄN</t>
        </is>
      </c>
      <c r="G380" t="inlineStr">
        <is>
          <t>LAHOLM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46239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46239</v>
      </c>
      <c r="F382" t="inlineStr">
        <is>
          <t>HALLANDS LÄN</t>
        </is>
      </c>
      <c r="G382" t="inlineStr">
        <is>
          <t>LAHOLM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45126</v>
      </c>
      <c r="E383" s="1" t="n">
        <v>46239</v>
      </c>
      <c r="F383" t="inlineStr">
        <is>
          <t>HALLANDS LÄN</t>
        </is>
      </c>
      <c r="G383" t="inlineStr">
        <is>
          <t>LAHOLM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42312-2024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46239</v>
      </c>
      <c r="F384" t="inlineStr">
        <is>
          <t>HALLANDS LÄN</t>
        </is>
      </c>
      <c r="G384" t="inlineStr">
        <is>
          <t>LAHOLM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27720-2023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46239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46239</v>
      </c>
      <c r="F386" t="inlineStr">
        <is>
          <t>HALLANDS LÄN</t>
        </is>
      </c>
      <c r="G386" t="inlineStr">
        <is>
          <t>LAHOLM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46239</v>
      </c>
      <c r="F387" t="inlineStr">
        <is>
          <t>HALLANDS LÄN</t>
        </is>
      </c>
      <c r="G387" t="inlineStr">
        <is>
          <t>LAHOLM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45415</v>
      </c>
      <c r="E388" s="1" t="n">
        <v>46239</v>
      </c>
      <c r="F388" t="inlineStr">
        <is>
          <t>HALLANDS LÄN</t>
        </is>
      </c>
      <c r="G388" t="inlineStr">
        <is>
          <t>LAHOLM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46239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45719</v>
      </c>
      <c r="E390" s="1" t="n">
        <v>46239</v>
      </c>
      <c r="F390" t="inlineStr">
        <is>
          <t>HALLANDS LÄN</t>
        </is>
      </c>
      <c r="G390" t="inlineStr">
        <is>
          <t>LAHOLM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46239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46239</v>
      </c>
      <c r="F392" t="inlineStr">
        <is>
          <t>HALLANDS LÄN</t>
        </is>
      </c>
      <c r="G392" t="inlineStr">
        <is>
          <t>LAHOLM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57701-2024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45630</v>
      </c>
      <c r="E393" s="1" t="n">
        <v>46239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46239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45139</v>
      </c>
      <c r="E395" s="1" t="n">
        <v>46239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45139</v>
      </c>
      <c r="E396" s="1" t="n">
        <v>46239</v>
      </c>
      <c r="F396" t="inlineStr">
        <is>
          <t>HALLANDS LÄN</t>
        </is>
      </c>
      <c r="G396" t="inlineStr">
        <is>
          <t>LAHOLM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60341-2024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45643</v>
      </c>
      <c r="E397" s="1" t="n">
        <v>46239</v>
      </c>
      <c r="F397" t="inlineStr">
        <is>
          <t>HALLANDS LÄN</t>
        </is>
      </c>
      <c r="G397" t="inlineStr">
        <is>
          <t>LAHOLM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46134</v>
      </c>
      <c r="E398" s="1" t="n">
        <v>46239</v>
      </c>
      <c r="F398" t="inlineStr">
        <is>
          <t>HALLANDS LÄN</t>
        </is>
      </c>
      <c r="G398" t="inlineStr">
        <is>
          <t>LAHOLM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46239</v>
      </c>
      <c r="F399" t="inlineStr">
        <is>
          <t>HALLANDS LÄN</t>
        </is>
      </c>
      <c r="G399" t="inlineStr">
        <is>
          <t>LAHOLM</t>
        </is>
      </c>
      <c r="H399" t="inlineStr">
        <is>
          <t>Sveaskog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45734</v>
      </c>
      <c r="E400" s="1" t="n">
        <v>46239</v>
      </c>
      <c r="F400" t="inlineStr">
        <is>
          <t>HALLANDS LÄN</t>
        </is>
      </c>
      <c r="G400" t="inlineStr">
        <is>
          <t>LAHOLM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34889-2025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46239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35523-2024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46239</v>
      </c>
      <c r="F402" t="inlineStr">
        <is>
          <t>HALLANDS LÄN</t>
        </is>
      </c>
      <c r="G402" t="inlineStr">
        <is>
          <t>LAHOLM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46239</v>
      </c>
      <c r="F403" t="inlineStr">
        <is>
          <t>HALLANDS LÄN</t>
        </is>
      </c>
      <c r="G403" t="inlineStr">
        <is>
          <t>LAHOLM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46239</v>
      </c>
      <c r="F404" t="inlineStr">
        <is>
          <t>HALLANDS LÄN</t>
        </is>
      </c>
      <c r="G404" t="inlineStr">
        <is>
          <t>LAHOLM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58558-2022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44902</v>
      </c>
      <c r="E405" s="1" t="n">
        <v>46239</v>
      </c>
      <c r="F405" t="inlineStr">
        <is>
          <t>HALLANDS LÄN</t>
        </is>
      </c>
      <c r="G405" t="inlineStr">
        <is>
          <t>LAHOLM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45747</v>
      </c>
      <c r="E406" s="1" t="n">
        <v>46239</v>
      </c>
      <c r="F406" t="inlineStr">
        <is>
          <t>HALLANDS LÄN</t>
        </is>
      </c>
      <c r="G406" t="inlineStr">
        <is>
          <t>LAHOLM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45027</v>
      </c>
      <c r="E407" s="1" t="n">
        <v>46239</v>
      </c>
      <c r="F407" t="inlineStr">
        <is>
          <t>HALLANDS LÄN</t>
        </is>
      </c>
      <c r="G407" t="inlineStr">
        <is>
          <t>LAHOLM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45035</v>
      </c>
      <c r="E408" s="1" t="n">
        <v>46239</v>
      </c>
      <c r="F408" t="inlineStr">
        <is>
          <t>HALLANDS LÄN</t>
        </is>
      </c>
      <c r="G408" t="inlineStr">
        <is>
          <t>LAHOLM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44802</v>
      </c>
      <c r="E409" s="1" t="n">
        <v>46239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44600</v>
      </c>
      <c r="E410" s="1" t="n">
        <v>46239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45680</v>
      </c>
      <c r="E411" s="1" t="n">
        <v>46239</v>
      </c>
      <c r="F411" t="inlineStr">
        <is>
          <t>HALLANDS LÄN</t>
        </is>
      </c>
      <c r="G411" t="inlineStr">
        <is>
          <t>LAHOLM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44594</v>
      </c>
      <c r="E412" s="1" t="n">
        <v>46239</v>
      </c>
      <c r="F412" t="inlineStr">
        <is>
          <t>HALLANDS LÄN</t>
        </is>
      </c>
      <c r="G412" t="inlineStr">
        <is>
          <t>LAHOLM</t>
        </is>
      </c>
      <c r="H412" t="inlineStr">
        <is>
          <t>Kommuner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46239</v>
      </c>
      <c r="F413" t="inlineStr">
        <is>
          <t>HALLANDS LÄN</t>
        </is>
      </c>
      <c r="G413" t="inlineStr">
        <is>
          <t>LAHOLM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46239</v>
      </c>
      <c r="F414" t="inlineStr">
        <is>
          <t>HALLANDS LÄN</t>
        </is>
      </c>
      <c r="G414" t="inlineStr">
        <is>
          <t>LAHOLM</t>
        </is>
      </c>
      <c r="I414" t="n">
        <v>12.9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69589-2021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44532</v>
      </c>
      <c r="E415" s="1" t="n">
        <v>46239</v>
      </c>
      <c r="F415" t="inlineStr">
        <is>
          <t>HALLANDS LÄN</t>
        </is>
      </c>
      <c r="G415" t="inlineStr">
        <is>
          <t>LAHOLM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45812</v>
      </c>
      <c r="E416" s="1" t="n">
        <v>46239</v>
      </c>
      <c r="F416" t="inlineStr">
        <is>
          <t>HALLANDS LÄN</t>
        </is>
      </c>
      <c r="G416" t="inlineStr">
        <is>
          <t>LAHOLM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45426</v>
      </c>
      <c r="E417" s="1" t="n">
        <v>46239</v>
      </c>
      <c r="F417" t="inlineStr">
        <is>
          <t>HALLANDS LÄN</t>
        </is>
      </c>
      <c r="G417" t="inlineStr">
        <is>
          <t>LAHOLM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45762</v>
      </c>
      <c r="E418" s="1" t="n">
        <v>46239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44600</v>
      </c>
      <c r="E419" s="1" t="n">
        <v>46239</v>
      </c>
      <c r="F419" t="inlineStr">
        <is>
          <t>HALLANDS LÄN</t>
        </is>
      </c>
      <c r="G419" t="inlineStr">
        <is>
          <t>LAHOLM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46239</v>
      </c>
      <c r="F420" t="inlineStr">
        <is>
          <t>HALLANDS LÄN</t>
        </is>
      </c>
      <c r="G420" t="inlineStr">
        <is>
          <t>LAHOLM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46239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46239</v>
      </c>
      <c r="F422" t="inlineStr">
        <is>
          <t>HALLANDS LÄN</t>
        </is>
      </c>
      <c r="G422" t="inlineStr">
        <is>
          <t>LAHOLM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45700</v>
      </c>
      <c r="E423" s="1" t="n">
        <v>46239</v>
      </c>
      <c r="F423" t="inlineStr">
        <is>
          <t>HALLANDS LÄN</t>
        </is>
      </c>
      <c r="G423" t="inlineStr">
        <is>
          <t>LAHOLM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46239</v>
      </c>
      <c r="F424" t="inlineStr">
        <is>
          <t>HALLANDS LÄN</t>
        </is>
      </c>
      <c r="G424" t="inlineStr">
        <is>
          <t>LAHOLM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54309-2023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45232</v>
      </c>
      <c r="E425" s="1" t="n">
        <v>46239</v>
      </c>
      <c r="F425" t="inlineStr">
        <is>
          <t>HALLANDS LÄN</t>
        </is>
      </c>
      <c r="G425" t="inlineStr">
        <is>
          <t>LAHOLM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45179</v>
      </c>
      <c r="E426" s="1" t="n">
        <v>46239</v>
      </c>
      <c r="F426" t="inlineStr">
        <is>
          <t>HALLANDS LÄN</t>
        </is>
      </c>
      <c r="G426" t="inlineStr">
        <is>
          <t>LAHOLM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46655-2023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45195</v>
      </c>
      <c r="E427" s="1" t="n">
        <v>46239</v>
      </c>
      <c r="F427" t="inlineStr">
        <is>
          <t>HALLANDS LÄN</t>
        </is>
      </c>
      <c r="G427" t="inlineStr">
        <is>
          <t>LAHOLM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45688</v>
      </c>
      <c r="E428" s="1" t="n">
        <v>46239</v>
      </c>
      <c r="F428" t="inlineStr">
        <is>
          <t>HALLANDS LÄN</t>
        </is>
      </c>
      <c r="G428" t="inlineStr">
        <is>
          <t>LAHOLM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26798-2023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46239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41289-2023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45174</v>
      </c>
      <c r="E430" s="1" t="n">
        <v>46239</v>
      </c>
      <c r="F430" t="inlineStr">
        <is>
          <t>HALLANDS LÄN</t>
        </is>
      </c>
      <c r="G430" t="inlineStr">
        <is>
          <t>LAHOLM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45299</v>
      </c>
      <c r="E431" s="1" t="n">
        <v>46239</v>
      </c>
      <c r="F431" t="inlineStr">
        <is>
          <t>HALLANDS LÄN</t>
        </is>
      </c>
      <c r="G431" t="inlineStr">
        <is>
          <t>LAHOLM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45670</v>
      </c>
      <c r="E432" s="1" t="n">
        <v>46239</v>
      </c>
      <c r="F432" t="inlineStr">
        <is>
          <t>HALLANDS LÄN</t>
        </is>
      </c>
      <c r="G432" t="inlineStr">
        <is>
          <t>LAHOLM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46239</v>
      </c>
      <c r="F433" t="inlineStr">
        <is>
          <t>HALLANDS LÄN</t>
        </is>
      </c>
      <c r="G433" t="inlineStr">
        <is>
          <t>LAHOLM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29474-2022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44753</v>
      </c>
      <c r="E434" s="1" t="n">
        <v>46239</v>
      </c>
      <c r="F434" t="inlineStr">
        <is>
          <t>HALLANDS LÄN</t>
        </is>
      </c>
      <c r="G434" t="inlineStr">
        <is>
          <t>LAHOLM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40810-2023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45171</v>
      </c>
      <c r="E435" s="1" t="n">
        <v>46239</v>
      </c>
      <c r="F435" t="inlineStr">
        <is>
          <t>HALLANDS LÄN</t>
        </is>
      </c>
      <c r="G435" t="inlineStr">
        <is>
          <t>LAHOLM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45195</v>
      </c>
      <c r="E436" s="1" t="n">
        <v>46239</v>
      </c>
      <c r="F436" t="inlineStr">
        <is>
          <t>HALLANDS LÄN</t>
        </is>
      </c>
      <c r="G436" t="inlineStr">
        <is>
          <t>LAHOLM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46239</v>
      </c>
      <c r="F437" t="inlineStr">
        <is>
          <t>HALLANDS LÄN</t>
        </is>
      </c>
      <c r="G437" t="inlineStr">
        <is>
          <t>LAHOLM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12935-2024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46239</v>
      </c>
      <c r="F438" t="inlineStr">
        <is>
          <t>HALLANDS LÄN</t>
        </is>
      </c>
      <c r="G438" t="inlineStr">
        <is>
          <t>LAHOLM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46239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46239</v>
      </c>
      <c r="F440" t="inlineStr">
        <is>
          <t>HALLANDS LÄN</t>
        </is>
      </c>
      <c r="G440" t="inlineStr">
        <is>
          <t>LAHOLM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45707</v>
      </c>
      <c r="E441" s="1" t="n">
        <v>46239</v>
      </c>
      <c r="F441" t="inlineStr">
        <is>
          <t>HALLANDS LÄN</t>
        </is>
      </c>
      <c r="G441" t="inlineStr">
        <is>
          <t>LAHOLM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45231</v>
      </c>
      <c r="E442" s="1" t="n">
        <v>46239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45314</v>
      </c>
      <c r="E443" s="1" t="n">
        <v>46239</v>
      </c>
      <c r="F443" t="inlineStr">
        <is>
          <t>HALLANDS LÄN</t>
        </is>
      </c>
      <c r="G443" t="inlineStr">
        <is>
          <t>LAHOLM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50099-2023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46239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45320</v>
      </c>
      <c r="E445" s="1" t="n">
        <v>46239</v>
      </c>
      <c r="F445" t="inlineStr">
        <is>
          <t>HALLANDS LÄN</t>
        </is>
      </c>
      <c r="G445" t="inlineStr">
        <is>
          <t>LAHOLM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46239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46239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46239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46239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46239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46239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46239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46239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46239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46239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46239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46239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46239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46239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46239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46239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46239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2026-08-05T20:38:38Z</dcterms:created>
  <dcterms:modified xmlns:dcterms="http://purl.org/dc/terms/" xmlns:xsi="http://www.w3.org/2001/XMLSchema-instance" xsi:type="dcterms:W3CDTF">2026-08-05T20:38:38Z</dcterms:modified>
</cp:coreProperties>
</file>